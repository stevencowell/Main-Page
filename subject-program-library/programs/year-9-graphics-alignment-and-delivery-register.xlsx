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109df3b57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503c711c5d4ef9"/>
    <x:sheet xmlns:r="http://schemas.openxmlformats.org/officeDocument/2006/relationships" name="Year 9 Plan" sheetId="2" r:id="R3235e0acc41f4ef2"/>
    <x:sheet xmlns:r="http://schemas.openxmlformats.org/officeDocument/2006/relationships" name="Delivery Log" sheetId="3" r:id="Rf6fa29245d324512"/>
    <x:sheet xmlns:r="http://schemas.openxmlformats.org/officeDocument/2006/relationships" name="Master Alignment" sheetId="4" r:id="R736ae6cea56a4a95"/>
    <x:sheet xmlns:r="http://schemas.openxmlformats.org/officeDocument/2006/relationships" name="Outcome Coverage" sheetId="5" r:id="Rb9f8113649414ddd"/>
    <x:sheet xmlns:r="http://schemas.openxmlformats.org/officeDocument/2006/relationships" name="Confirm Register" sheetId="6" r:id="R60dc646d42a840e1"/>
    <x:sheet xmlns:r="http://schemas.openxmlformats.org/officeDocument/2006/relationships" name="Sources" sheetId="7" r:id="R75e336612e4a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dd-mmm-yyyy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B1118"/>
      <x:name val="Carlito"/>
    </x:font>
    <x:font>
      <x:b/>
      <x:sz val="11"/>
      <x:color rgb="FFFFFFFF"/>
      <x:name val="Carlito"/>
    </x:font>
    <x:font>
      <x:b/>
      <x:sz val="14"/>
      <x:color rgb="FF8B2433"/>
      <x:name val="Carlito"/>
    </x:font>
    <x:font>
      <x:sz val="10"/>
      <x:color rgb="FF3B1118"/>
      <x:name val="Carlito"/>
    </x:font>
    <x:font>
      <x:b/>
      <x:sz val="10"/>
      <x:color rgb="FF3B1118"/>
      <x:name val="Carlito"/>
    </x:font>
    <x:font>
      <x:b/>
      <x:sz val="11"/>
      <x:color rgb="FF7F6000"/>
      <x:name val="Carlito"/>
    </x:font>
    <x:font>
      <x:b/>
      <x:sz val="10"/>
      <x:color rgb="FF8B24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8B2433"/>
      </x:patternFill>
    </x:fill>
    <x:fill>
      <x:patternFill patternType="solid">
        <x:fgColor rgb="FFFFF5D9"/>
      </x:patternFill>
    </x:fill>
    <x:fill>
      <x:patternFill patternType="solid">
        <x:fgColor rgb="FFFBEAEC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</x:fills>
  <x:borders count="5">
    <x:border/>
    <x:border>
      <x:left style="thin">
        <x:color rgb="FF8B2433"/>
      </x:left>
      <x:right style="thin">
        <x:color rgb="FF8B2433"/>
      </x:right>
      <x:top style="thin">
        <x:color rgb="FF8B2433"/>
      </x:top>
      <x:bottom style="thin">
        <x:color rgb="FF8B2433"/>
      </x:bottom>
    </x:border>
    <x:border>
      <x:left style="thin">
        <x:color rgb="FF3B1118"/>
      </x:left>
      <x:right style="thin">
        <x:color rgb="FF3B1118"/>
      </x:right>
      <x:top style="thin">
        <x:color rgb="FF3B1118"/>
      </x:top>
      <x:bottom style="thin">
        <x:color rgb="FF3B1118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C79421"/>
      </x:left>
      <x:right style="thin">
        <x:color rgb="FFC79421"/>
      </x:right>
      <x:top style="thin">
        <x:color rgb="FFC79421"/>
      </x:top>
      <x:bottom style="thin">
        <x:color rgb="FFC7942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4" fillId="4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left" wrapText="1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201" fontId="5" fillId="6" borderId="3" xfId="0" applyNumberFormat="1" applyFont="1" applyFill="1" applyBorder="1" applyAlignment="1">
      <x:alignment horizontal="center" vertical="top" wrapText="1"/>
    </x:xf>
    <x:xf numFmtId="201" fontId="5" fillId="0" borderId="3" xfId="0" applyNumberFormat="1" applyFont="1" applyFill="1" applyBorder="1" applyAlignment="1">
      <x:alignment horizontal="center" vertical="top" wrapText="1"/>
    </x:xf>
    <x:xf numFmtId="202" fontId="5" fillId="6" borderId="3" xfId="0" applyNumberFormat="1" applyFont="1" applyFill="1" applyBorder="1" applyAlignment="1">
      <x:alignment vertical="top" wrapText="1"/>
    </x:xf>
    <x:xf numFmtId="202" fontId="5" fillId="0" borderId="3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horizontal="center" vertical="top" wrapText="1"/>
    </x:xf>
    <x:xf numFmtId="0" fontId="8" fillId="6" borderId="3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horizontal="center" vertical="top" wrapText="1"/>
    </x:xf>
    <x:xf numFmtId="0" fontId="8" fillId="0" borderId="3" xfId="0" applyNumberFormat="1" applyFont="1" applyFill="1" applyBorder="1" applyAlignment="1">
      <x:alignment horizontal="center" vertical="top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7cca4f8db4ec5" /><Relationship Type="http://schemas.openxmlformats.org/officeDocument/2006/relationships/theme" Target="/xl/theme/theme1.xml" Id="Rf86280eac7a54c86" /><Relationship Type="http://schemas.openxmlformats.org/officeDocument/2006/relationships/sharedStrings" Target="/xl/sharedStrings.xml" Id="R629146f9a606476f" /><Relationship Type="http://schemas.openxmlformats.org/officeDocument/2006/relationships/worksheet" Target="/xl/worksheets/sheet1.xml" Id="R70503c711c5d4ef9" /><Relationship Type="http://schemas.openxmlformats.org/officeDocument/2006/relationships/worksheet" Target="/xl/worksheets/sheet2.xml" Id="R3235e0acc41f4ef2" /><Relationship Type="http://schemas.openxmlformats.org/officeDocument/2006/relationships/worksheet" Target="/xl/worksheets/sheet3.xml" Id="Rf6fa29245d324512" /><Relationship Type="http://schemas.openxmlformats.org/officeDocument/2006/relationships/worksheet" Target="/xl/worksheets/sheet4.xml" Id="R736ae6cea56a4a95" /><Relationship Type="http://schemas.openxmlformats.org/officeDocument/2006/relationships/worksheet" Target="/xl/worksheets/sheet5.xml" Id="Rb9f8113649414ddd" /><Relationship Type="http://schemas.openxmlformats.org/officeDocument/2006/relationships/worksheet" Target="/xl/worksheets/sheet6.xml" Id="R60dc646d42a840e1" /><Relationship Type="http://schemas.openxmlformats.org/officeDocument/2006/relationships/worksheet" Target="/xl/worksheets/sheet7.xml" Id="R75e336612e4a40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8" hidden="0" customWidth="1"/>
    <x:col min="5" max="5" width="24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Year 9 Graphics alignment and delivery register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One editable control workbook for the provisional 40-block Year 9 program and the Stage 5 Graphics 200-hour two-year master. No formal assessment schedule is created here.</x:v>
      </x:c>
      <x:c r="B2" s="7"/>
      <x:c r="C2" s="7"/>
      <x:c r="D2" s="7"/>
      <x:c r="E2" s="7"/>
      <x:c r="F2" s="7"/>
      <x:c r="G2" s="7"/>
      <x:c r="H2" s="7"/>
    </x:row>
    <x:row r="3">
      <x:c r="A3" s="11" t="str">
        <x:v>Year 9 blocks</x:v>
      </x:c>
      <x:c r="B3" s="11"/>
      <x:c r="C3" s="11" t="str">
        <x:v>Practical/project blocks</x:v>
      </x:c>
      <x:c r="D3" s="11"/>
      <x:c r="E3" s="11" t="str">
        <x:v>Block-count share</x:v>
      </x:c>
      <x:c r="F3" s="11"/>
      <x:c r="G3" s="11" t="str">
        <x:v>Master modules</x:v>
      </x:c>
      <x:c r="H3" s="11"/>
    </x:row>
    <x:row r="4">
      <x:c r="A4" s="17" t="n">
        <x:f>COUNTA('Year 9 Plan'!$A$6:$A$45)</x:f>
        <x:v>40</x:v>
      </x:c>
      <x:c r="B4" s="17"/>
      <x:c r="C4" s="17" t="n">
        <x:f>COUNTIF('Year 9 Plan'!$C$6:$C$45,"Practical")+COUNTIF('Year 9 Plan'!$C$6:$C$45,"Project/folio")</x:f>
        <x:v>28</x:v>
      </x:c>
      <x:c r="D4" s="17"/>
      <x:c r="E4" s="18" t="n">
        <x:f>C4/A4</x:f>
        <x:v>0.7</x:v>
      </x:c>
      <x:c r="F4" s="18"/>
      <x:c r="G4" s="17" t="n">
        <x:f>COUNTA('Master Alignment'!$A$6:$A$13)</x:f>
        <x:v>8</x:v>
      </x:c>
      <x:c r="H4" s="17"/>
    </x:row>
    <x:row r="6">
      <x:c r="A6" s="11" t="str">
        <x:v>Blocks complete</x:v>
      </x:c>
      <x:c r="B6" s="11"/>
      <x:c r="C6" s="11" t="str">
        <x:v>Confirmed dependencies</x:v>
      </x:c>
      <x:c r="D6" s="11"/>
      <x:c r="E6" s="11" t="str">
        <x:v>Dependencies outstanding</x:v>
      </x:c>
      <x:c r="F6" s="11"/>
      <x:c r="G6" s="11" t="str">
        <x:v>Year 10 acceptance</x:v>
      </x:c>
      <x:c r="H6" s="11"/>
    </x:row>
    <x:row r="7">
      <x:c r="A7" s="17" t="n">
        <x:f>COUNTIF('Delivery Log'!$E$6:$E$45,"Complete")</x:f>
        <x:v>0</x:v>
      </x:c>
      <x:c r="B7" s="17"/>
      <x:c r="C7" s="17" t="n">
        <x:f>COUNTIF('Confirm Register'!$F$6:$F$14,"Confirmed")</x:f>
        <x:v>0</x:v>
      </x:c>
      <x:c r="D7" s="17"/>
      <x:c r="E7" s="17" t="n">
        <x:f>COUNTA('Confirm Register'!$A$6:$A$14)-C7</x:f>
        <x:v>9</x:v>
      </x:c>
      <x:c r="F7" s="17"/>
      <x:c r="G7" s="17" t="str">
        <x:v>Not accepted - Teacher to confirm</x:v>
      </x:c>
      <x:c r="H7" s="17"/>
    </x:row>
    <x:row r="10">
      <x:c r="A10" s="22" t="str">
        <x:v>Control position</x:v>
      </x:c>
      <x:c r="B10" s="22"/>
      <x:c r="C10" s="22"/>
      <x:c r="D10" s="22"/>
      <x:c r="E10" s="22"/>
      <x:c r="F10" s="22"/>
      <x:c r="G10" s="22"/>
      <x:c r="H10" s="22"/>
    </x:row>
    <x:row r="11">
      <x:c r="A11" s="28" t="str">
        <x:v>Official course duration</x:v>
      </x:c>
      <x:c r="B11" s="26" t="str">
        <x:v>200 hours</x:v>
      </x:c>
      <x:c r="C11" s="26"/>
      <x:c r="D11" s="26"/>
      <x:c r="E11" s="26"/>
      <x:c r="F11" s="26"/>
      <x:c r="G11" s="26"/>
      <x:c r="H11" s="26"/>
    </x:row>
    <x:row r="12">
      <x:c r="A12" s="28" t="str">
        <x:v>Year 9 delivery model</x:v>
      </x:c>
      <x:c r="B12" s="26" t="str">
        <x:v>40 provisional teaching blocks; exact timetable conversion Teacher to confirm</x:v>
      </x:c>
      <x:c r="C12" s="26"/>
      <x:c r="D12" s="26"/>
      <x:c r="E12" s="26"/>
      <x:c r="F12" s="26"/>
      <x:c r="G12" s="26"/>
      <x:c r="H12" s="26"/>
    </x:row>
    <x:row r="13">
      <x:c r="A13" s="28" t="str">
        <x:v>Year 9 balance</x:v>
      </x:c>
      <x:c r="B13" s="26" t="str">
        <x:v>28 of 40 blocks are Practical or Project/folio; this is not an hours claim</x:v>
      </x:c>
      <x:c r="C13" s="26"/>
      <x:c r="D13" s="26"/>
      <x:c r="E13" s="26"/>
      <x:c r="F13" s="26"/>
      <x:c r="G13" s="26"/>
      <x:c r="H13" s="26"/>
    </x:row>
    <x:row r="14">
      <x:c r="A14" s="28" t="str">
        <x:v>CAD pathway</x:v>
      </x:c>
      <x:c r="B14" s="26" t="str">
        <x:v>Onshape only; any companion 2D graphics or layout software is separately authorised</x:v>
      </x:c>
      <x:c r="C14" s="26"/>
      <x:c r="D14" s="26"/>
      <x:c r="E14" s="26"/>
      <x:c r="F14" s="26"/>
      <x:c r="G14" s="26"/>
      <x:c r="H14" s="26"/>
    </x:row>
    <x:row r="15">
      <x:c r="A15" s="28" t="str">
        <x:v>Year 10 state</x:v>
      </x:c>
      <x:c r="B15" s="26" t="str">
        <x:v>Planned CMT5 transition; independent acceptance still required</x:v>
      </x:c>
      <x:c r="C15" s="26"/>
      <x:c r="D15" s="26"/>
      <x:c r="E15" s="26"/>
      <x:c r="F15" s="26"/>
      <x:c r="G15" s="26"/>
      <x:c r="H15" s="26"/>
    </x:row>
    <x:row r="16">
      <x:c r="A16" s="28" t="str">
        <x:v>Assessment boundary</x:v>
      </x:c>
      <x:c r="B16" s="26" t="str">
        <x:v>Task names, weightings, dates, notification and submission arrangements Teacher to confirm</x:v>
      </x:c>
      <x:c r="C16" s="26"/>
      <x:c r="D16" s="26"/>
      <x:c r="E16" s="26"/>
      <x:c r="F16" s="26"/>
      <x:c r="G16" s="26"/>
      <x:c r="H16" s="26"/>
    </x:row>
    <x:row r="18" ht="36" customHeight="1">
      <x:c r="A18" s="32" t="str">
        <x:v>Use the Confirm Register before converting blocks into the local timetable, launching projects, issuing assessment notices or treating the Year 10 mapping as accepted.</x:v>
      </x:c>
      <x:c r="B18" s="32"/>
      <x:c r="C18" s="32"/>
      <x:c r="D18" s="32"/>
      <x:c r="E18" s="32"/>
      <x:c r="F18" s="32"/>
      <x:c r="G18" s="32"/>
      <x:c r="H18" s="32"/>
    </x:row>
  </x:sheetData>
  <x:mergeCells>
    <x:mergeCell ref="A1:H1"/>
    <x:mergeCell ref="A2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B6"/>
    <x:mergeCell ref="C6:D6"/>
    <x:mergeCell ref="E6:F6"/>
    <x:mergeCell ref="G6:H6"/>
    <x:mergeCell ref="A7:B7"/>
    <x:mergeCell ref="C7:D7"/>
    <x:mergeCell ref="E7:F7"/>
    <x:mergeCell ref="G7:H7"/>
    <x:mergeCell ref="A10:H10"/>
    <x:mergeCell ref="B11:H11"/>
    <x:mergeCell ref="B12:H12"/>
    <x:mergeCell ref="B13:H13"/>
    <x:mergeCell ref="B14:H14"/>
    <x:mergeCell ref="B15:H15"/>
    <x:mergeCell ref="B16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5" hidden="0" customWidth="1"/>
    <x:col min="4" max="4" width="28" hidden="0" customWidth="1"/>
    <x:col min="5" max="5" width="27" hidden="0" customWidth="1"/>
    <x:col min="6" max="6" width="34" hidden="0" customWidth="1"/>
    <x:col min="7" max="7" width="22" hidden="0" customWidth="1"/>
    <x:col min="8" max="8" width="34" hidden="0" customWidth="1"/>
    <x:col min="9" max="9" width="34" hidden="0" customWidth="1"/>
    <x:col min="10" max="10" width="34" hidden="0" customWidth="1"/>
    <x:col min="11" max="11" width="42" hidden="0" customWidth="1"/>
  </x:cols>
  <x:sheetData>
    <x:row r="1" ht="30" customHeight="1">
      <x:c r="A1" s="3" t="str">
        <x:v>Year 9 provisional delivery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Forty teaching blocks, ten per module. Exact theory, activity, media and folio identifiers are retained for delivery traceability; exact timetable conversion remains Teacher to confirm.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>
      <x:c r="A5" s="22" t="str">
        <x:v>Block</x:v>
      </x:c>
      <x:c r="B5" s="22" t="str">
        <x:v>Module</x:v>
      </x:c>
      <x:c r="C5" s="22" t="str">
        <x:v>Type</x:v>
      </x:c>
      <x:c r="D5" s="22" t="str">
        <x:v>Focus</x:v>
      </x:c>
      <x:c r="E5" s="22" t="str">
        <x:v>Theory / package</x:v>
      </x:c>
      <x:c r="F5" s="22" t="str">
        <x:v>Activity mapping</x:v>
      </x:c>
      <x:c r="G5" s="22" t="str">
        <x:v>Media mapping</x:v>
      </x:c>
      <x:c r="H5" s="22" t="str">
        <x:v>Folio mapping</x:v>
      </x:c>
      <x:c r="I5" s="22" t="str">
        <x:v>CMT5 outcomes</x:v>
      </x:c>
      <x:c r="J5" s="22" t="str">
        <x:v>Planned evidence</x:v>
      </x:c>
      <x:c r="K5" s="22" t="str">
        <x:v>Authority / Teacher to confirm</x:v>
      </x:c>
    </x:row>
    <x:row r="6" ht="46" customHeight="1">
      <x:c r="A6" s="36" t="n">
        <x:v>1</x:v>
      </x:c>
      <x:c r="B6" s="34" t="str">
        <x:v>M01</x:v>
      </x:c>
      <x:c r="C6" s="34" t="str">
        <x:v>Site/theory</x:v>
      </x:c>
      <x:c r="D6" s="33" t="str">
        <x:v>Course boundary, risk-aware start and line language</x:v>
      </x:c>
      <x:c r="E6" s="33" t="str">
        <x:v>m01s01-theory</x:v>
      </x:c>
      <x:c r="F6" s="33" t="str">
        <x:v>ala-m01s01-line-purpose-audit-v1</x:v>
      </x:c>
      <x:c r="G6" s="33" t="str">
        <x:v>m01s01-media</x:v>
      </x:c>
      <x:c r="H6" s="33" t="str">
        <x:v>folio-m01s01-studio-line-decisions</x:v>
      </x:c>
      <x:c r="I6" s="33" t="str">
        <x:v>CMT5-SAF-01; CMT5-COM-01</x:v>
      </x:c>
      <x:c r="J6" s="33" t="str">
        <x:v>Annotated risk-thinking scenario; Line-purpose classification</x:v>
      </x:c>
      <x:c r="K6" s="33" t="str">
        <x:v>Current local drawing-room routines and approved equipment before any hands-on setup</x:v>
      </x:c>
    </x:row>
    <x:row r="7" ht="46" customHeight="1">
      <x:c r="A7" s="37" t="n">
        <x:v>2</x:v>
      </x:c>
      <x:c r="B7" s="35" t="str">
        <x:v>M01</x:v>
      </x:c>
      <x:c r="C7" s="35" t="str">
        <x:v>Practical</x:v>
      </x:c>
      <x:c r="D7" s="26" t="str">
        <x:v>Instrument selection and line-purpose practice</x:v>
      </x:c>
      <x:c r="E7" s="26" t="str">
        <x:v>m01s01-theory</x:v>
      </x:c>
      <x:c r="F7" s="26" t="str">
        <x:v>ala-m01s01-line-purpose-audit-v1</x:v>
      </x:c>
      <x:c r="G7" s="26" t="str">
        <x:v>m01s01-media</x:v>
      </x:c>
      <x:c r="H7" s="26" t="str">
        <x:v>folio-m01s01-studio-line-decisions</x:v>
      </x:c>
      <x:c r="I7" s="26" t="str">
        <x:v>CMT5-SAF-01; CMT5-DEP-01; CMT5-DES-01; CMT5-USE-01</x:v>
      </x:c>
      <x:c r="J7" s="26" t="str">
        <x:v>Teacher-observed tool-selection reasoning; Line sample with purpose annotations</x:v>
      </x:c>
      <x:c r="K7" s="26" t="str">
        <x:v>teacher directed; local controls and approved equipment Teacher to confirm; Current local WHS controls, approved instruments and supervision</x:v>
      </x:c>
    </x:row>
    <x:row r="8" ht="46" customHeight="1">
      <x:c r="A8" s="36" t="n">
        <x:v>3</x:v>
      </x:c>
      <x:c r="B8" s="34" t="str">
        <x:v>M01</x:v>
      </x:c>
      <x:c r="C8" s="34" t="str">
        <x:v>Project/folio</x:v>
      </x:c>
      <x:c r="D8" s="33" t="str">
        <x:v>Safe-studio and line-language evidence package</x:v>
      </x:c>
      <x:c r="E8" s="33" t="str">
        <x:v>m01s01-theory</x:v>
      </x:c>
      <x:c r="F8" s="33" t="str">
        <x:v>ala-m01s01-line-purpose-audit-v1</x:v>
      </x:c>
      <x:c r="G8" s="33" t="str">
        <x:v>m01s01-media</x:v>
      </x:c>
      <x:c r="H8" s="33" t="str">
        <x:v>folio-m01s01-studio-line-decisions</x:v>
      </x:c>
      <x:c r="I8" s="33" t="str">
        <x:v>CMT5-COM-01; CMT5-DES-01; CMT5-PMP-01</x:v>
      </x:c>
      <x:c r="J8" s="33" t="str">
        <x:v>10 checked MCQs; Section capstone; Folio decision record</x:v>
      </x:c>
      <x:c r="K8" s="33" t="str">
        <x:v>No block-specific gap recorded</x:v>
      </x:c>
    </x:row>
    <x:row r="9" ht="46" customHeight="1">
      <x:c r="A9" s="37" t="n">
        <x:v>4</x:v>
      </x:c>
      <x:c r="B9" s="35" t="str">
        <x:v>M01</x:v>
      </x:c>
      <x:c r="C9" s="35" t="str">
        <x:v>Site/theory</x:v>
      </x:c>
      <x:c r="D9" s="26" t="str">
        <x:v>Sketching, construction and rendering as different communication moves</x:v>
      </x:c>
      <x:c r="E9" s="26" t="str">
        <x:v>m01s02-theory</x:v>
      </x:c>
      <x:c r="F9" s="26" t="str">
        <x:v>ala-m01s02-sketch-construction-render-choice-v1</x:v>
      </x:c>
      <x:c r="G9" s="26" t="str">
        <x:v>m01s02-media</x:v>
      </x:c>
      <x:c r="H9" s="26" t="str">
        <x:v>folio-m01s02-sketch-render-progression</x:v>
      </x:c>
      <x:c r="I9" s="26" t="str">
        <x:v>CMT5-COM-01; CMT5-DEP-01; CMT5-DES-01</x:v>
      </x:c>
      <x:c r="J9" s="26" t="str">
        <x:v>Three-state visual annotation; Construction-reasoning explanation</x:v>
      </x:c>
      <x:c r="K9" s="26" t="str">
        <x:v>No block-specific gap recorded</x:v>
      </x:c>
    </x:row>
    <x:row r="10" ht="46" customHeight="1">
      <x:c r="A10" s="36" t="n">
        <x:v>5</x:v>
      </x:c>
      <x:c r="B10" s="34" t="str">
        <x:v>M01</x:v>
      </x:c>
      <x:c r="C10" s="34" t="str">
        <x:v>Practical</x:v>
      </x:c>
      <x:c r="D10" s="33" t="str">
        <x:v>Geometric construction and coherent rendering</x:v>
      </x:c>
      <x:c r="E10" s="33" t="str">
        <x:v>m01s02-theory</x:v>
      </x:c>
      <x:c r="F10" s="33" t="str">
        <x:v>ala-m01s02-sketch-construction-render-choice-v1</x:v>
      </x:c>
      <x:c r="G10" s="33" t="str">
        <x:v>m01s02-media</x:v>
      </x:c>
      <x:c r="H10" s="33" t="str">
        <x:v>folio-m01s02-sketch-render-progression</x:v>
      </x:c>
      <x:c r="I10" s="33" t="str">
        <x:v>CMT5-DEP-01; CMT5-DES-01; CMT5-USE-01</x:v>
      </x:c>
      <x:c r="J10" s="33" t="str">
        <x:v>Construction sequence; Before-and-after rendered form; Short accuracy check</x:v>
      </x:c>
      <x:c r="K10" s="33" t="str">
        <x:v>source safe manual graphics practice; local setup directions Teacher to confirm; Teacher-supplied construction prompt and current room setup</x:v>
      </x:c>
    </x:row>
    <x:row r="11" ht="46" customHeight="1">
      <x:c r="A11" s="37" t="n">
        <x:v>6</x:v>
      </x:c>
      <x:c r="B11" s="35" t="str">
        <x:v>M01</x:v>
      </x:c>
      <x:c r="C11" s="35" t="str">
        <x:v>Project/folio</x:v>
      </x:c>
      <x:c r="D11" s="26" t="str">
        <x:v>Sketch-to-render evidence package</x:v>
      </x:c>
      <x:c r="E11" s="26" t="str">
        <x:v>m01s02-theory</x:v>
      </x:c>
      <x:c r="F11" s="26" t="str">
        <x:v>ala-m01s02-sketch-construction-render-choice-v1</x:v>
      </x:c>
      <x:c r="G11" s="26" t="str">
        <x:v>m01s02-media</x:v>
      </x:c>
      <x:c r="H11" s="26" t="str">
        <x:v>folio-m01s02-sketch-render-progression</x:v>
      </x:c>
      <x:c r="I11" s="26" t="str">
        <x:v>CMT5-COM-01; CMT5-DES-02; CMT5-PMP-01</x:v>
      </x:c>
      <x:c r="J11" s="26" t="str">
        <x:v>10 checked MCQs; Section capstone; Three-stage folio comparison</x:v>
      </x:c>
      <x:c r="K11" s="26" t="str">
        <x:v>No block-specific gap recorded</x:v>
      </x:c>
    </x:row>
    <x:row r="12" ht="46" customHeight="1">
      <x:c r="A12" s="36" t="n">
        <x:v>7</x:v>
      </x:c>
      <x:c r="B12" s="34" t="str">
        <x:v>M01</x:v>
      </x:c>
      <x:c r="C12" s="34" t="str">
        <x:v>Site/theory</x:v>
      </x:c>
      <x:c r="D12" s="33" t="str">
        <x:v>One object, coordinated views and controlled dimensions</x:v>
      </x:c>
      <x:c r="E12" s="33" t="str">
        <x:v>m01s03-theory</x:v>
      </x:c>
      <x:c r="F12" s="33" t="str">
        <x:v>ala-m01s03-view-dimension-reasoning-v1</x:v>
      </x:c>
      <x:c r="G12" s="33" t="str">
        <x:v>m01s03-media</x:v>
      </x:c>
      <x:c r="H12" s="33" t="str">
        <x:v>folio-m01s03-coordinated-views</x:v>
      </x:c>
      <x:c r="I12" s="33" t="str">
        <x:v>CMT5-COM-01; CMT5-DES-01; CMT5-USE-01</x:v>
      </x:c>
      <x:c r="J12" s="33" t="str">
        <x:v>Object-to-view reasoning map; Dimension-purpose critique</x:v>
      </x:c>
      <x:c r="K12" s="33" t="str">
        <x:v>School's verified Australian drawing-standard template and settings</x:v>
      </x:c>
    </x:row>
    <x:row r="13" ht="46" customHeight="1">
      <x:c r="A13" s="37" t="n">
        <x:v>8</x:v>
      </x:c>
      <x:c r="B13" s="35" t="str">
        <x:v>M01</x:v>
      </x:c>
      <x:c r="C13" s="35" t="str">
        <x:v>Practical</x:v>
      </x:c>
      <x:c r="D13" s="26" t="str">
        <x:v>Coordinated view and dimensioning practice</x:v>
      </x:c>
      <x:c r="E13" s="26" t="str">
        <x:v>m01s03-theory</x:v>
      </x:c>
      <x:c r="F13" s="26" t="str">
        <x:v>ala-m01s03-view-dimension-reasoning-v1</x:v>
      </x:c>
      <x:c r="G13" s="26" t="str">
        <x:v>m01s03-media</x:v>
      </x:c>
      <x:c r="H13" s="26" t="str">
        <x:v>folio-m01s03-coordinated-views</x:v>
      </x:c>
      <x:c r="I13" s="26" t="str">
        <x:v>CMT5-DEP-01; CMT5-DES-01; CMT5-USE-01</x:v>
      </x:c>
      <x:c r="J13" s="26" t="str">
        <x:v>Coordinated view set; Dimension selection rationale; Cross-view correction note</x:v>
      </x:c>
      <x:c r="K13" s="26" t="str">
        <x:v>source safe drawing practice; verified local template Teacher to confirm; Projection system and template to use in the local task</x:v>
      </x:c>
    </x:row>
    <x:row r="14" ht="46" customHeight="1">
      <x:c r="A14" s="36" t="n">
        <x:v>9</x:v>
      </x:c>
      <x:c r="B14" s="34" t="str">
        <x:v>M01</x:v>
      </x:c>
      <x:c r="C14" s="34" t="str">
        <x:v>Project/folio</x:v>
      </x:c>
      <x:c r="D14" s="33" t="str">
        <x:v>Views, projection and dimensions evidence package</x:v>
      </x:c>
      <x:c r="E14" s="33" t="str">
        <x:v>m01s03-theory</x:v>
      </x:c>
      <x:c r="F14" s="33" t="str">
        <x:v>ala-m01s03-view-dimension-reasoning-v1</x:v>
      </x:c>
      <x:c r="G14" s="33" t="str">
        <x:v>m01s03-media</x:v>
      </x:c>
      <x:c r="H14" s="33" t="str">
        <x:v>folio-m01s03-coordinated-views</x:v>
      </x:c>
      <x:c r="I14" s="33" t="str">
        <x:v>CMT5-COM-01; CMT5-DES-01; CMT5-PMP-01</x:v>
      </x:c>
      <x:c r="J14" s="33" t="str">
        <x:v>10 checked MCQs; Section capstone; Coordinated-view folio card</x:v>
      </x:c>
      <x:c r="K14" s="33" t="str">
        <x:v>No block-specific gap recorded</x:v>
      </x:c>
    </x:row>
    <x:row r="15" ht="46" customHeight="1">
      <x:c r="A15" s="37" t="n">
        <x:v>10</x:v>
      </x:c>
      <x:c r="B15" s="35" t="str">
        <x:v>M01</x:v>
      </x:c>
      <x:c r="C15" s="35" t="str">
        <x:v>Project/folio</x:v>
      </x:c>
      <x:c r="D15" s="26" t="str">
        <x:v>Module review and Project A foundation checkpoint</x:v>
      </x:c>
      <x:c r="E15" s="26" t="str">
        <x:v>m01s01-theory; m01s02-theory; m01s03-theory</x:v>
      </x:c>
      <x:c r="F15" s="26" t="str">
        <x:v>ala-m01s01-line-purpose-audit-v1; ala-m01s02-sketch-construction-render-choice-v1; ala-m01s03-view-dimension-reasoning-v1</x:v>
      </x:c>
      <x:c r="G15" s="26" t="str">
        <x:v>m01s01-media; m01s02-media; m01s03-media</x:v>
      </x:c>
      <x:c r="H15" s="26" t="str">
        <x:v>folio-m01s01-studio-line-decisions; folio-m01s02-sketch-render-progression; folio-m01s03-coordinated-views</x:v>
      </x:c>
      <x:c r="I15" s="26" t="str">
        <x:v>CMT5-COM-01; CMT5-DES-01; CMT5-PMP-01</x:v>
      </x:c>
      <x:c r="J15" s="26" t="str">
        <x:v>m01 review checklist; Project A foundation checkpoint; Folio evidence selection rationale</x:v>
      </x:c>
      <x:c r="K15" s="26" t="str">
        <x:v>Whether Project A remains the current local project and its final title</x:v>
      </x:c>
    </x:row>
    <x:row r="16" ht="46" customHeight="1">
      <x:c r="A16" s="36" t="n">
        <x:v>11</x:v>
      </x:c>
      <x:c r="B16" s="34" t="str">
        <x:v>M02</x:v>
      </x:c>
      <x:c r="C16" s="34" t="str">
        <x:v>Site/theory</x:v>
      </x:c>
      <x:c r="D16" s="33" t="str">
        <x:v>Onshape document map, sketch planes and constraints</x:v>
      </x:c>
      <x:c r="E16" s="33" t="str">
        <x:v>m02s01-theory</x:v>
      </x:c>
      <x:c r="F16" s="33" t="str">
        <x:v>ala-m02s01-constraint-intent-lab-v1</x:v>
      </x:c>
      <x:c r="G16" s="33" t="str">
        <x:v>m02s01-media</x:v>
      </x:c>
      <x:c r="H16" s="33" t="str">
        <x:v>folio-m02s01-constraint-intent</x:v>
      </x:c>
      <x:c r="I16" s="33" t="str">
        <x:v>CMT5-DES-01; CMT5-USE-01</x:v>
      </x:c>
      <x:c r="J16" s="33" t="str">
        <x:v>Onshape document concept map; Plane-choice explanation; Constraint prediction</x:v>
      </x:c>
      <x:c r="K16" s="33" t="str">
        <x:v>Onshape Education tenant/account access and school sign-in path</x:v>
      </x:c>
    </x:row>
    <x:row r="17" ht="46" customHeight="1">
      <x:c r="A17" s="37" t="n">
        <x:v>12</x:v>
      </x:c>
      <x:c r="B17" s="35" t="str">
        <x:v>M02</x:v>
      </x:c>
      <x:c r="C17" s="35" t="str">
        <x:v>Practical</x:v>
      </x:c>
      <x:c r="D17" s="26" t="str">
        <x:v>Constrained Onshape sketch</x:v>
      </x:c>
      <x:c r="E17" s="26" t="str">
        <x:v>m02s01-theory</x:v>
      </x:c>
      <x:c r="F17" s="26" t="str">
        <x:v>ala-m02s01-constraint-intent-lab-v1</x:v>
      </x:c>
      <x:c r="G17" s="26" t="str">
        <x:v>m02s01-media</x:v>
      </x:c>
      <x:c r="H17" s="26" t="str">
        <x:v>folio-m02s01-constraint-intent</x:v>
      </x:c>
      <x:c r="I17" s="26" t="str">
        <x:v>CMT5-SAF-01; CMT5-DEP-01; CMT5-DES-01; CMT5-USE-01</x:v>
      </x:c>
      <x:c r="J17" s="26" t="str">
        <x:v>Constrained sketch screenshot; Constraint-purpose annotations; Conflict-resolution note</x:v>
      </x:c>
      <x:c r="K17" s="26" t="str">
        <x:v>source safe Onshape practice; account access and classroom controls Teacher to confirm; Current Onshape access, naming convention and approved classroom workflow</x:v>
      </x:c>
    </x:row>
    <x:row r="18" ht="46" customHeight="1">
      <x:c r="A18" s="36" t="n">
        <x:v>13</x:v>
      </x:c>
      <x:c r="B18" s="34" t="str">
        <x:v>M02</x:v>
      </x:c>
      <x:c r="C18" s="34" t="str">
        <x:v>Project/folio</x:v>
      </x:c>
      <x:c r="D18" s="33" t="str">
        <x:v>Constraint-intent evidence package</x:v>
      </x:c>
      <x:c r="E18" s="33" t="str">
        <x:v>m02s01-theory</x:v>
      </x:c>
      <x:c r="F18" s="33" t="str">
        <x:v>ala-m02s01-constraint-intent-lab-v1</x:v>
      </x:c>
      <x:c r="G18" s="33" t="str">
        <x:v>m02s01-media</x:v>
      </x:c>
      <x:c r="H18" s="33" t="str">
        <x:v>folio-m02s01-constraint-intent</x:v>
      </x:c>
      <x:c r="I18" s="33" t="str">
        <x:v>CMT5-COM-01; CMT5-DES-01; CMT5-PMP-01</x:v>
      </x:c>
      <x:c r="J18" s="33" t="str">
        <x:v>10 checked MCQs; Section capstone; Constraint-intent folio card</x:v>
      </x:c>
      <x:c r="K18" s="33" t="str">
        <x:v>No block-specific gap recorded</x:v>
      </x:c>
    </x:row>
    <x:row r="19" ht="46" customHeight="1">
      <x:c r="A19" s="37" t="n">
        <x:v>14</x:v>
      </x:c>
      <x:c r="B19" s="35" t="str">
        <x:v>M02</x:v>
      </x:c>
      <x:c r="C19" s="35" t="str">
        <x:v>Site/theory</x:v>
      </x:c>
      <x:c r="D19" s="26" t="str">
        <x:v>Features, history and robust design intent</x:v>
      </x:c>
      <x:c r="E19" s="26" t="str">
        <x:v>m02s02-theory</x:v>
      </x:c>
      <x:c r="F19" s="26" t="str">
        <x:v>ala-m02s02-feature-history-change-test-v1</x:v>
      </x:c>
      <x:c r="G19" s="26" t="str">
        <x:v>m02s02-media</x:v>
      </x:c>
      <x:c r="H19" s="26" t="str">
        <x:v>folio-m02s02-feature-change-test</x:v>
      </x:c>
      <x:c r="I19" s="26" t="str">
        <x:v>CMT5-DEP-01; CMT5-DES-01; CMT5-USE-01</x:v>
      </x:c>
      <x:c r="J19" s="26" t="str">
        <x:v>Feature-history dependency trace; Result-type classification; Predicted change response</x:v>
      </x:c>
      <x:c r="K19" s="26" t="str">
        <x:v>No block-specific gap recorded</x:v>
      </x:c>
    </x:row>
    <x:row r="20" ht="46" customHeight="1">
      <x:c r="A20" s="36" t="n">
        <x:v>15</x:v>
      </x:c>
      <x:c r="B20" s="34" t="str">
        <x:v>M02</x:v>
      </x:c>
      <x:c r="C20" s="34" t="str">
        <x:v>Practical</x:v>
      </x:c>
      <x:c r="D20" s="33" t="str">
        <x:v>Onshape feature sequence and change test</x:v>
      </x:c>
      <x:c r="E20" s="33" t="str">
        <x:v>m02s02-theory</x:v>
      </x:c>
      <x:c r="F20" s="33" t="str">
        <x:v>ala-m02s02-feature-history-change-test-v1</x:v>
      </x:c>
      <x:c r="G20" s="33" t="str">
        <x:v>m02s02-media</x:v>
      </x:c>
      <x:c r="H20" s="33" t="str">
        <x:v>folio-m02s02-feature-change-test</x:v>
      </x:c>
      <x:c r="I20" s="33" t="str">
        <x:v>CMT5-DEP-01; CMT5-DES-01; CMT5-USE-01</x:v>
      </x:c>
      <x:c r="J20" s="33" t="str">
        <x:v>Feature tree screenshot; Before-and-after change evidence; Robustness explanation</x:v>
      </x:c>
      <x:c r="K20" s="33" t="str">
        <x:v>source safe Onshape digital modelling; No block-specific gap recorded</x:v>
      </x:c>
    </x:row>
    <x:row r="21" ht="46" customHeight="1">
      <x:c r="A21" s="37" t="n">
        <x:v>16</x:v>
      </x:c>
      <x:c r="B21" s="35" t="str">
        <x:v>M02</x:v>
      </x:c>
      <x:c r="C21" s="35" t="str">
        <x:v>Project/folio</x:v>
      </x:c>
      <x:c r="D21" s="26" t="str">
        <x:v>Feature-history evidence package</x:v>
      </x:c>
      <x:c r="E21" s="26" t="str">
        <x:v>m02s02-theory</x:v>
      </x:c>
      <x:c r="F21" s="26" t="str">
        <x:v>ala-m02s02-feature-history-change-test-v1</x:v>
      </x:c>
      <x:c r="G21" s="26" t="str">
        <x:v>m02s02-media</x:v>
      </x:c>
      <x:c r="H21" s="26" t="str">
        <x:v>folio-m02s02-feature-change-test</x:v>
      </x:c>
      <x:c r="I21" s="26" t="str">
        <x:v>CMT5-COM-01; CMT5-DES-01; CMT5-PMP-01</x:v>
      </x:c>
      <x:c r="J21" s="26" t="str">
        <x:v>10 checked MCQs; Section capstone; Feature-change folio card</x:v>
      </x:c>
      <x:c r="K21" s="26" t="str">
        <x:v>No block-specific gap recorded</x:v>
      </x:c>
    </x:row>
    <x:row r="22" ht="46" customHeight="1">
      <x:c r="A22" s="36" t="n">
        <x:v>17</x:v>
      </x:c>
      <x:c r="B22" s="34" t="str">
        <x:v>M02</x:v>
      </x:c>
      <x:c r="C22" s="34" t="str">
        <x:v>Site/theory</x:v>
      </x:c>
      <x:c r="D22" s="33" t="str">
        <x:v>Model, drawing, export and version as different information states</x:v>
      </x:c>
      <x:c r="E22" s="33" t="str">
        <x:v>m02s03-theory</x:v>
      </x:c>
      <x:c r="F22" s="33" t="str">
        <x:v>ala-m02s03-version-export-handoff-v1</x:v>
      </x:c>
      <x:c r="G22" s="33" t="str">
        <x:v>m02s03-media</x:v>
      </x:c>
      <x:c r="H22" s="33" t="str">
        <x:v>folio-m02s03-drawing-version-handoff</x:v>
      </x:c>
      <x:c r="I22" s="33" t="str">
        <x:v>CMT5-COM-01; CMT5-USE-01; CMT5-PMP-01</x:v>
      </x:c>
      <x:c r="J22" s="33" t="str">
        <x:v>Workspace-version-export comparison; Audience-format decision; Drawing update check</x:v>
      </x:c>
      <x:c r="K22" s="33" t="str">
        <x:v>Current school drawing template and approved export settings</x:v>
      </x:c>
    </x:row>
    <x:row r="23" ht="46" customHeight="1">
      <x:c r="A23" s="37" t="n">
        <x:v>18</x:v>
      </x:c>
      <x:c r="B23" s="35" t="str">
        <x:v>M02</x:v>
      </x:c>
      <x:c r="C23" s="35" t="str">
        <x:v>Practical</x:v>
      </x:c>
      <x:c r="D23" s="26" t="str">
        <x:v>Onshape drawing and controlled handoff</x:v>
      </x:c>
      <x:c r="E23" s="26" t="str">
        <x:v>m02s03-theory</x:v>
      </x:c>
      <x:c r="F23" s="26" t="str">
        <x:v>ala-m02s03-version-export-handoff-v1</x:v>
      </x:c>
      <x:c r="G23" s="26" t="str">
        <x:v>m02s03-media</x:v>
      </x:c>
      <x:c r="H23" s="26" t="str">
        <x:v>folio-m02s03-drawing-version-handoff</x:v>
      </x:c>
      <x:c r="I23" s="26" t="str">
        <x:v>CMT5-DEP-01; CMT5-DES-01; CMT5-USE-01; CMT5-PMP-01</x:v>
      </x:c>
      <x:c r="J23" s="26" t="str">
        <x:v>Onshape drawing screenshot; Named-version record; Export-purpose rationale</x:v>
      </x:c>
      <x:c r="K23" s="26" t="str">
        <x:v>source safe Onshape drawing/export practice; local template and submission path Teacher to confirm; Approved drawing template, units, export format and local evidence destination</x:v>
      </x:c>
    </x:row>
    <x:row r="24" ht="46" customHeight="1">
      <x:c r="A24" s="36" t="n">
        <x:v>19</x:v>
      </x:c>
      <x:c r="B24" s="34" t="str">
        <x:v>M02</x:v>
      </x:c>
      <x:c r="C24" s="34" t="str">
        <x:v>Project/folio</x:v>
      </x:c>
      <x:c r="D24" s="33" t="str">
        <x:v>Drawing, export and version evidence package</x:v>
      </x:c>
      <x:c r="E24" s="33" t="str">
        <x:v>m02s03-theory</x:v>
      </x:c>
      <x:c r="F24" s="33" t="str">
        <x:v>ala-m02s03-version-export-handoff-v1</x:v>
      </x:c>
      <x:c r="G24" s="33" t="str">
        <x:v>m02s03-media</x:v>
      </x:c>
      <x:c r="H24" s="33" t="str">
        <x:v>folio-m02s03-drawing-version-handoff</x:v>
      </x:c>
      <x:c r="I24" s="33" t="str">
        <x:v>CMT5-COM-01; CMT5-DES-01; CMT5-PMP-01</x:v>
      </x:c>
      <x:c r="J24" s="33" t="str">
        <x:v>10 checked MCQs; Section capstone; Drawing-version-export folio card</x:v>
      </x:c>
      <x:c r="K24" s="33" t="str">
        <x:v>No block-specific gap recorded</x:v>
      </x:c>
    </x:row>
    <x:row r="25" ht="46" customHeight="1">
      <x:c r="A25" s="37" t="n">
        <x:v>20</x:v>
      </x:c>
      <x:c r="B25" s="35" t="str">
        <x:v>M02</x:v>
      </x:c>
      <x:c r="C25" s="35" t="str">
        <x:v>Project/folio</x:v>
      </x:c>
      <x:c r="D25" s="26" t="str">
        <x:v>Module review and Project A folio gate</x:v>
      </x:c>
      <x:c r="E25" s="26" t="str">
        <x:v>m02s01-theory; m02s02-theory; m02s03-theory</x:v>
      </x:c>
      <x:c r="F25" s="26" t="str">
        <x:v>ala-m02s01-constraint-intent-lab-v1; ala-m02s02-feature-history-change-test-v1; ala-m02s03-version-export-handoff-v1</x:v>
      </x:c>
      <x:c r="G25" s="26" t="str">
        <x:v>m02s01-media; m02s02-media; m02s03-media</x:v>
      </x:c>
      <x:c r="H25" s="26" t="str">
        <x:v>folio-m02s01-constraint-intent; folio-m02s02-feature-change-test; folio-m02s03-drawing-version-handoff</x:v>
      </x:c>
      <x:c r="I25" s="26" t="str">
        <x:v>CMT5-COM-01; CMT5-DES-02; CMT5-PMP-01</x:v>
      </x:c>
      <x:c r="J25" s="26" t="str">
        <x:v>m02 review checklist; Project A folio gate; Unresolved-authority record</x:v>
      </x:c>
      <x:c r="K25" s="26" t="str">
        <x:v>Project A name, current brief, assessment status and submission arrangements</x:v>
      </x:c>
    </x:row>
    <x:row r="26" ht="46" customHeight="1">
      <x:c r="A26" s="36" t="n">
        <x:v>21</x:v>
      </x:c>
      <x:c r="B26" s="34" t="str">
        <x:v>M03</x:v>
      </x:c>
      <x:c r="C26" s="34" t="str">
        <x:v>Site/theory</x:v>
      </x:c>
      <x:c r="D26" s="33" t="str">
        <x:v>Research evidence, brief, specification and concept choice</x:v>
      </x:c>
      <x:c r="E26" s="33" t="str">
        <x:v>m03s01-theory</x:v>
      </x:c>
      <x:c r="F26" s="33" t="str">
        <x:v>ala-m03s01-evidence-led-concept-choice-v1</x:v>
      </x:c>
      <x:c r="G26" s="33" t="str">
        <x:v>m03s01-media</x:v>
      </x:c>
      <x:c r="H26" s="33" t="str">
        <x:v>folio-m03s01-research-concept-choice</x:v>
      </x:c>
      <x:c r="I26" s="33" t="str">
        <x:v>CMT5-DES-02; CMT5-ENV-01; CMT5-PMP-01</x:v>
      </x:c>
      <x:c r="J26" s="33" t="str">
        <x:v>Research evidence classification; Draft brief and specification; Concept comparison matrix</x:v>
      </x:c>
      <x:c r="K26" s="33" t="str">
        <x:v>Current local project identity and whether the historical six-product research minimum still applies</x:v>
      </x:c>
    </x:row>
    <x:row r="27" ht="46" customHeight="1">
      <x:c r="A27" s="37" t="n">
        <x:v>22</x:v>
      </x:c>
      <x:c r="B27" s="35" t="str">
        <x:v>M03</x:v>
      </x:c>
      <x:c r="C27" s="35" t="str">
        <x:v>Practical</x:v>
      </x:c>
      <x:c r="D27" s="26" t="str">
        <x:v>Product evidence audit and concept generation</x:v>
      </x:c>
      <x:c r="E27" s="26" t="str">
        <x:v>m03s01-theory</x:v>
      </x:c>
      <x:c r="F27" s="26" t="str">
        <x:v>ala-m03s01-evidence-led-concept-choice-v1</x:v>
      </x:c>
      <x:c r="G27" s="26" t="str">
        <x:v>m03s01-media</x:v>
      </x:c>
      <x:c r="H27" s="26" t="str">
        <x:v>folio-m03s01-research-concept-choice</x:v>
      </x:c>
      <x:c r="I27" s="26" t="str">
        <x:v>CMT5-COM-01; CMT5-DES-02; CMT5-ENV-01</x:v>
      </x:c>
      <x:c r="J27" s="26" t="str">
        <x:v>Observation-inference-opportunity table; Concept thumbnails; Criteria-based comparison</x:v>
      </x:c>
      <x:c r="K27" s="26" t="str">
        <x:v>source safe design practical; no current formal project or product count asserted; Approved local research sources and project brief</x:v>
      </x:c>
    </x:row>
    <x:row r="28" ht="46" customHeight="1">
      <x:c r="A28" s="36" t="n">
        <x:v>23</x:v>
      </x:c>
      <x:c r="B28" s="34" t="str">
        <x:v>M03</x:v>
      </x:c>
      <x:c r="C28" s="34" t="str">
        <x:v>Project/folio</x:v>
      </x:c>
      <x:c r="D28" s="33" t="str">
        <x:v>Research and concept-choice evidence package</x:v>
      </x:c>
      <x:c r="E28" s="33" t="str">
        <x:v>m03s01-theory</x:v>
      </x:c>
      <x:c r="F28" s="33" t="str">
        <x:v>ala-m03s01-evidence-led-concept-choice-v1</x:v>
      </x:c>
      <x:c r="G28" s="33" t="str">
        <x:v>m03s01-media</x:v>
      </x:c>
      <x:c r="H28" s="33" t="str">
        <x:v>folio-m03s01-research-concept-choice</x:v>
      </x:c>
      <x:c r="I28" s="33" t="str">
        <x:v>CMT5-COM-01; CMT5-DES-02; CMT5-PMP-01</x:v>
      </x:c>
      <x:c r="J28" s="33" t="str">
        <x:v>10 checked MCQs; Section capstone; Research-and-choice folio card</x:v>
      </x:c>
      <x:c r="K28" s="33" t="str">
        <x:v>No block-specific gap recorded</x:v>
      </x:c>
    </x:row>
    <x:row r="29" ht="46" customHeight="1">
      <x:c r="A29" s="37" t="n">
        <x:v>24</x:v>
      </x:c>
      <x:c r="B29" s="35" t="str">
        <x:v>M03</x:v>
      </x:c>
      <x:c r="C29" s="35" t="str">
        <x:v>Site/theory</x:v>
      </x:c>
      <x:c r="D29" s="26" t="str">
        <x:v>Part hierarchy, cutting lists, parts lists and assemblies</x:v>
      </x:c>
      <x:c r="E29" s="26" t="str">
        <x:v>m03s02-theory</x:v>
      </x:c>
      <x:c r="F29" s="26" t="str">
        <x:v>ala-m03s02-parts-list-assembly-trace-v1</x:v>
      </x:c>
      <x:c r="G29" s="26" t="str">
        <x:v>m03s02-media</x:v>
      </x:c>
      <x:c r="H29" s="26" t="str">
        <x:v>folio-m03s02-parts-assembly-trace</x:v>
      </x:c>
      <x:c r="I29" s="26" t="str">
        <x:v>CMT5-COM-01; CMT5-DEP-01; CMT5-PMP-01</x:v>
      </x:c>
      <x:c r="J29" s="26" t="str">
        <x:v>Part hierarchy diagram; Cutting-list versus parts-list comparison; Assembly relationship trace</x:v>
      </x:c>
      <x:c r="K29" s="26" t="str">
        <x:v>Current project parts, materials, dimensions and approved list template</x:v>
      </x:c>
    </x:row>
    <x:row r="30" ht="46" customHeight="1">
      <x:c r="A30" s="36" t="n">
        <x:v>25</x:v>
      </x:c>
      <x:c r="B30" s="34" t="str">
        <x:v>M03</x:v>
      </x:c>
      <x:c r="C30" s="34" t="str">
        <x:v>Practical</x:v>
      </x:c>
      <x:c r="D30" s="33" t="str">
        <x:v>Onshape assembly and list relationship</x:v>
      </x:c>
      <x:c r="E30" s="33" t="str">
        <x:v>m03s02-theory</x:v>
      </x:c>
      <x:c r="F30" s="33" t="str">
        <x:v>ala-m03s02-parts-list-assembly-trace-v1</x:v>
      </x:c>
      <x:c r="G30" s="33" t="str">
        <x:v>m03s02-media</x:v>
      </x:c>
      <x:c r="H30" s="33" t="str">
        <x:v>folio-m03s02-parts-assembly-trace</x:v>
      </x:c>
      <x:c r="I30" s="33" t="str">
        <x:v>CMT5-DEP-01; CMT5-DES-01; CMT5-USE-01</x:v>
      </x:c>
      <x:c r="J30" s="33" t="str">
        <x:v>Assembly hierarchy screenshot; Exploded view; Item-quantity relationship record</x:v>
      </x:c>
      <x:c r="K30" s="33" t="str">
        <x:v>source safe Onshape assembly practice; no physical manufacture claimed; Account permissions and approved current local list fields</x:v>
      </x:c>
    </x:row>
    <x:row r="31" ht="46" customHeight="1">
      <x:c r="A31" s="37" t="n">
        <x:v>26</x:v>
      </x:c>
      <x:c r="B31" s="35" t="str">
        <x:v>M03</x:v>
      </x:c>
      <x:c r="C31" s="35" t="str">
        <x:v>Project/folio</x:v>
      </x:c>
      <x:c r="D31" s="26" t="str">
        <x:v>Parts and assembly evidence package</x:v>
      </x:c>
      <x:c r="E31" s="26" t="str">
        <x:v>m03s02-theory</x:v>
      </x:c>
      <x:c r="F31" s="26" t="str">
        <x:v>ala-m03s02-parts-list-assembly-trace-v1</x:v>
      </x:c>
      <x:c r="G31" s="26" t="str">
        <x:v>m03s02-media</x:v>
      </x:c>
      <x:c r="H31" s="26" t="str">
        <x:v>folio-m03s02-parts-assembly-trace</x:v>
      </x:c>
      <x:c r="I31" s="26" t="str">
        <x:v>CMT5-COM-01; CMT5-DES-01; CMT5-PMP-01</x:v>
      </x:c>
      <x:c r="J31" s="26" t="str">
        <x:v>10 checked MCQs; Section capstone; Parts-and-assembly folio card</x:v>
      </x:c>
      <x:c r="K31" s="26" t="str">
        <x:v>No block-specific gap recorded</x:v>
      </x:c>
    </x:row>
    <x:row r="32" ht="46" customHeight="1">
      <x:c r="A32" s="36" t="n">
        <x:v>27</x:v>
      </x:c>
      <x:c r="B32" s="34" t="str">
        <x:v>M03</x:v>
      </x:c>
      <x:c r="C32" s="34" t="str">
        <x:v>Site/theory</x:v>
      </x:c>
      <x:c r="D32" s="33" t="str">
        <x:v>Prototype purpose, test evidence, feedback and evaluation</x:v>
      </x:c>
      <x:c r="E32" s="33" t="str">
        <x:v>m03s03-theory</x:v>
      </x:c>
      <x:c r="F32" s="33" t="str">
        <x:v>ala-m03s03-test-evidence-revision-cycle-v1</x:v>
      </x:c>
      <x:c r="G32" s="33" t="str">
        <x:v>m03s03-media</x:v>
      </x:c>
      <x:c r="H32" s="33" t="str">
        <x:v>folio-m03s03-test-revision-evaluation</x:v>
      </x:c>
      <x:c r="I32" s="33" t="str">
        <x:v>CMT5-ENV-01; CMT5-PMP-01; CMT5-IET-01</x:v>
      </x:c>
      <x:c r="J32" s="33" t="str">
        <x:v>Prototype-purpose choice; Criterion-method-evidence-decision test plan; Feedback-to-revision link</x:v>
      </x:c>
      <x:c r="K32" s="33" t="str">
        <x:v>Any physical prototype or CAM pathway, equipment, materials and current risk controls</x:v>
      </x:c>
    </x:row>
    <x:row r="33" ht="46" customHeight="1">
      <x:c r="A33" s="37" t="n">
        <x:v>28</x:v>
      </x:c>
      <x:c r="B33" s="35" t="str">
        <x:v>M03</x:v>
      </x:c>
      <x:c r="C33" s="35" t="str">
        <x:v>Practical</x:v>
      </x:c>
      <x:c r="D33" s="26" t="str">
        <x:v>Digital prototype test and revision in Onshape</x:v>
      </x:c>
      <x:c r="E33" s="26" t="str">
        <x:v>m03s03-theory</x:v>
      </x:c>
      <x:c r="F33" s="26" t="str">
        <x:v>ala-m03s03-test-evidence-revision-cycle-v1</x:v>
      </x:c>
      <x:c r="G33" s="26" t="str">
        <x:v>m03s03-media</x:v>
      </x:c>
      <x:c r="H33" s="26" t="str">
        <x:v>folio-m03s03-test-revision-evaluation</x:v>
      </x:c>
      <x:c r="I33" s="26" t="str">
        <x:v>CMT5-SAF-01; CMT5-DEP-01; CMT5-USE-01; CMT5-ENV-01</x:v>
      </x:c>
      <x:c r="J33" s="26" t="str">
        <x:v>Digital test record; Named-version comparison; Evidence-based revision note</x:v>
      </x:c>
      <x:c r="K33" s="26" t="str">
        <x:v>digital Onshape pathway authorised by course decision; all physical/CAM processes Teacher to confirm; Whether a physical prototype is used and all related local controls</x:v>
      </x:c>
    </x:row>
    <x:row r="34" ht="46" customHeight="1">
      <x:c r="A34" s="36" t="n">
        <x:v>29</x:v>
      </x:c>
      <x:c r="B34" s="34" t="str">
        <x:v>M03</x:v>
      </x:c>
      <x:c r="C34" s="34" t="str">
        <x:v>Project/folio</x:v>
      </x:c>
      <x:c r="D34" s="33" t="str">
        <x:v>Prototype-test evidence package</x:v>
      </x:c>
      <x:c r="E34" s="33" t="str">
        <x:v>m03s03-theory</x:v>
      </x:c>
      <x:c r="F34" s="33" t="str">
        <x:v>ala-m03s03-test-evidence-revision-cycle-v1</x:v>
      </x:c>
      <x:c r="G34" s="33" t="str">
        <x:v>m03s03-media</x:v>
      </x:c>
      <x:c r="H34" s="33" t="str">
        <x:v>folio-m03s03-test-revision-evaluation</x:v>
      </x:c>
      <x:c r="I34" s="33" t="str">
        <x:v>CMT5-COM-01; CMT5-ENV-01; CMT5-PMP-01; CMT5-IET-01</x:v>
      </x:c>
      <x:c r="J34" s="33" t="str">
        <x:v>10 checked MCQs; Section capstone; Test-revision-evaluation folio card</x:v>
      </x:c>
      <x:c r="K34" s="33" t="str">
        <x:v>No block-specific gap recorded</x:v>
      </x:c>
    </x:row>
    <x:row r="35" ht="46" customHeight="1">
      <x:c r="A35" s="37" t="n">
        <x:v>30</x:v>
      </x:c>
      <x:c r="B35" s="35" t="str">
        <x:v>M03</x:v>
      </x:c>
      <x:c r="C35" s="35" t="str">
        <x:v>Project/folio</x:v>
      </x:c>
      <x:c r="D35" s="26" t="str">
        <x:v>Module review and Project B development checkpoint</x:v>
      </x:c>
      <x:c r="E35" s="26" t="str">
        <x:v>m03s01-theory; m03s02-theory; m03s03-theory</x:v>
      </x:c>
      <x:c r="F35" s="26" t="str">
        <x:v>ala-m03s01-evidence-led-concept-choice-v1; ala-m03s02-parts-list-assembly-trace-v1; ala-m03s03-test-evidence-revision-cycle-v1</x:v>
      </x:c>
      <x:c r="G35" s="26" t="str">
        <x:v>m03s01-media; m03s02-media; m03s03-media</x:v>
      </x:c>
      <x:c r="H35" s="26" t="str">
        <x:v>folio-m03s01-research-concept-choice; folio-m03s02-parts-assembly-trace; folio-m03s03-test-revision-evaluation</x:v>
      </x:c>
      <x:c r="I35" s="26" t="str">
        <x:v>CMT5-COM-01; CMT5-DES-02; CMT5-PMP-01</x:v>
      </x:c>
      <x:c r="J35" s="26" t="str">
        <x:v>m03 review checklist; Project B development checkpoint; Communication-gap note</x:v>
      </x:c>
      <x:c r="K35" s="26" t="str">
        <x:v>Project B name, current brief and whether any physical production is included</x:v>
      </x:c>
    </x:row>
    <x:row r="36" ht="46" customHeight="1">
      <x:c r="A36" s="36" t="n">
        <x:v>31</x:v>
      </x:c>
      <x:c r="B36" s="34" t="str">
        <x:v>M04</x:v>
      </x:c>
      <x:c r="C36" s="34" t="str">
        <x:v>Site/theory</x:v>
      </x:c>
      <x:c r="D36" s="33" t="str">
        <x:v>Audience, design principles and ethical sources</x:v>
      </x:c>
      <x:c r="E36" s="33" t="str">
        <x:v>m04s01-theory</x:v>
      </x:c>
      <x:c r="F36" s="33" t="str">
        <x:v>ala-m04s01-audience-source-ethics-check-v1</x:v>
      </x:c>
      <x:c r="G36" s="33" t="str">
        <x:v>m04s01-media</x:v>
      </x:c>
      <x:c r="H36" s="33" t="str">
        <x:v>folio-m04s01-audience-source-decision</x:v>
      </x:c>
      <x:c r="I36" s="33" t="str">
        <x:v>CMT5-COM-01; CMT5-DES-02; CMT5-IET-01</x:v>
      </x:c>
      <x:c r="J36" s="33" t="str">
        <x:v>Audience notice-understand-act profile; Design-principle annotation; Source and cultural-care decision</x:v>
      </x:c>
      <x:c r="K36" s="33" t="str">
        <x:v>Approved local cultural protocols and any use of community knowledge or cultural expressions</x:v>
      </x:c>
    </x:row>
    <x:row r="37" ht="46" customHeight="1">
      <x:c r="A37" s="37" t="n">
        <x:v>32</x:v>
      </x:c>
      <x:c r="B37" s="35" t="str">
        <x:v>M04</x:v>
      </x:c>
      <x:c r="C37" s="35" t="str">
        <x:v>Practical</x:v>
      </x:c>
      <x:c r="D37" s="26" t="str">
        <x:v>Audience-led visual and source audit</x:v>
      </x:c>
      <x:c r="E37" s="26" t="str">
        <x:v>m04s01-theory</x:v>
      </x:c>
      <x:c r="F37" s="26" t="str">
        <x:v>ala-m04s01-audience-source-ethics-check-v1</x:v>
      </x:c>
      <x:c r="G37" s="26" t="str">
        <x:v>m04s01-media</x:v>
      </x:c>
      <x:c r="H37" s="26" t="str">
        <x:v>folio-m04s01-audience-source-decision</x:v>
      </x:c>
      <x:c r="I37" s="26" t="str">
        <x:v>CMT5-COM-01; CMT5-DES-02; CMT5-USE-01; CMT5-IET-01</x:v>
      </x:c>
      <x:c r="J37" s="26" t="str">
        <x:v>Source-decision audit; Two audience-led concept directions; Design-principle annotations</x:v>
      </x:c>
      <x:c r="K37" s="26" t="str">
        <x:v>source safe graphic design practice; approved companion software Teacher to confirm; Approved non-CAD design software and local source-use expectations</x:v>
      </x:c>
    </x:row>
    <x:row r="38" ht="46" customHeight="1">
      <x:c r="A38" s="36" t="n">
        <x:v>33</x:v>
      </x:c>
      <x:c r="B38" s="34" t="str">
        <x:v>M04</x:v>
      </x:c>
      <x:c r="C38" s="34" t="str">
        <x:v>Project/folio</x:v>
      </x:c>
      <x:c r="D38" s="33" t="str">
        <x:v>Audience and source-ethics evidence package</x:v>
      </x:c>
      <x:c r="E38" s="33" t="str">
        <x:v>m04s01-theory</x:v>
      </x:c>
      <x:c r="F38" s="33" t="str">
        <x:v>ala-m04s01-audience-source-ethics-check-v1</x:v>
      </x:c>
      <x:c r="G38" s="33" t="str">
        <x:v>m04s01-media</x:v>
      </x:c>
      <x:c r="H38" s="33" t="str">
        <x:v>folio-m04s01-audience-source-decision</x:v>
      </x:c>
      <x:c r="I38" s="33" t="str">
        <x:v>CMT5-COM-01; CMT5-DES-02; CMT5-IET-01</x:v>
      </x:c>
      <x:c r="J38" s="33" t="str">
        <x:v>10 checked MCQs; Section capstone; Audience-and-source folio card</x:v>
      </x:c>
      <x:c r="K38" s="33" t="str">
        <x:v>No block-specific gap recorded</x:v>
      </x:c>
    </x:row>
    <x:row r="39" ht="46" customHeight="1">
      <x:c r="A39" s="37" t="n">
        <x:v>34</x:v>
      </x:c>
      <x:c r="B39" s="35" t="str">
        <x:v>M04</x:v>
      </x:c>
      <x:c r="C39" s="35" t="str">
        <x:v>Site/theory</x:v>
      </x:c>
      <x:c r="D39" s="26" t="str">
        <x:v>Vector, raster, colour and layout decisions</x:v>
      </x:c>
      <x:c r="E39" s="26" t="str">
        <x:v>m04s02-theory</x:v>
      </x:c>
      <x:c r="F39" s="26" t="str">
        <x:v>ala-m04s02-format-colour-layout-decision-v1</x:v>
      </x:c>
      <x:c r="G39" s="26" t="str">
        <x:v>m04s02-media</x:v>
      </x:c>
      <x:c r="H39" s="26" t="str">
        <x:v>folio-m04s02-layout-output-rationale</x:v>
      </x:c>
      <x:c r="I39" s="26" t="str">
        <x:v>CMT5-DES-01; CMT5-DES-02; CMT5-USE-01</x:v>
      </x:c>
      <x:c r="J39" s="26" t="str">
        <x:v>Vector-raster decision; Resolution and output explanation; Layout hierarchy annotation</x:v>
      </x:c>
      <x:c r="K39" s="26" t="str">
        <x:v>Approved companion software and print-production pathway</x:v>
      </x:c>
    </x:row>
    <x:row r="40" ht="46" customHeight="1">
      <x:c r="A40" s="36" t="n">
        <x:v>35</x:v>
      </x:c>
      <x:c r="B40" s="34" t="str">
        <x:v>M04</x:v>
      </x:c>
      <x:c r="C40" s="34" t="str">
        <x:v>Practical</x:v>
      </x:c>
      <x:c r="D40" s="33" t="str">
        <x:v>Tool-neutral layout and output proof</x:v>
      </x:c>
      <x:c r="E40" s="33" t="str">
        <x:v>m04s02-theory</x:v>
      </x:c>
      <x:c r="F40" s="33" t="str">
        <x:v>ala-m04s02-format-colour-layout-decision-v1</x:v>
      </x:c>
      <x:c r="G40" s="33" t="str">
        <x:v>m04s02-media</x:v>
      </x:c>
      <x:c r="H40" s="33" t="str">
        <x:v>folio-m04s02-layout-output-rationale</x:v>
      </x:c>
      <x:c r="I40" s="33" t="str">
        <x:v>CMT5-DEP-01; CMT5-DES-01; CMT5-USE-01</x:v>
      </x:c>
      <x:c r="J40" s="33" t="str">
        <x:v>Working layout; Output proof; Format-colour-layout rationale</x:v>
      </x:c>
      <x:c r="K40" s="33" t="str">
        <x:v>tool neutral companion software practice; package and local output settings Teacher to confirm; Approved companion software, colour-management expectations and output destination</x:v>
      </x:c>
    </x:row>
    <x:row r="41" ht="46" customHeight="1">
      <x:c r="A41" s="37" t="n">
        <x:v>36</x:v>
      </x:c>
      <x:c r="B41" s="35" t="str">
        <x:v>M04</x:v>
      </x:c>
      <x:c r="C41" s="35" t="str">
        <x:v>Project/folio</x:v>
      </x:c>
      <x:c r="D41" s="26" t="str">
        <x:v>Format, colour and layout evidence package</x:v>
      </x:c>
      <x:c r="E41" s="26" t="str">
        <x:v>m04s02-theory</x:v>
      </x:c>
      <x:c r="F41" s="26" t="str">
        <x:v>ala-m04s02-format-colour-layout-decision-v1</x:v>
      </x:c>
      <x:c r="G41" s="26" t="str">
        <x:v>m04s02-media</x:v>
      </x:c>
      <x:c r="H41" s="26" t="str">
        <x:v>folio-m04s02-layout-output-rationale</x:v>
      </x:c>
      <x:c r="I41" s="26" t="str">
        <x:v>CMT5-COM-01; CMT5-DES-02; CMT5-USE-01</x:v>
      </x:c>
      <x:c r="J41" s="26" t="str">
        <x:v>10 checked MCQs; Section capstone; Layout-output folio card</x:v>
      </x:c>
      <x:c r="K41" s="26" t="str">
        <x:v>No block-specific gap recorded</x:v>
      </x:c>
    </x:row>
    <x:row r="42" ht="46" customHeight="1">
      <x:c r="A42" s="36" t="n">
        <x:v>37</x:v>
      </x:c>
      <x:c r="B42" s="34" t="str">
        <x:v>M04</x:v>
      </x:c>
      <x:c r="C42" s="34" t="str">
        <x:v>Site/theory</x:v>
      </x:c>
      <x:c r="D42" s="33" t="str">
        <x:v>Purposeful motion, portfolio curation and audience-facing presentation</x:v>
      </x:c>
      <x:c r="E42" s="33" t="str">
        <x:v>m04s03-theory</x:v>
      </x:c>
      <x:c r="F42" s="33" t="str">
        <x:v>ala-m04s03-storyboard-portfolio-sequence-v1</x:v>
      </x:c>
      <x:c r="G42" s="33" t="str">
        <x:v>m04s03-media</x:v>
      </x:c>
      <x:c r="H42" s="33" t="str">
        <x:v>folio-m04s03-portfolio-presentation-story</x:v>
      </x:c>
      <x:c r="I42" s="33" t="str">
        <x:v>CMT5-COM-01; CMT5-DES-02; CMT5-IET-01</x:v>
      </x:c>
      <x:c r="J42" s="33" t="str">
        <x:v>Motion-purpose decision; Storyboard annotation; Portfolio evidence sequence</x:v>
      </x:c>
      <x:c r="K42" s="33" t="str">
        <x:v>Approved motion/presentation package and local accessibility expectations</x:v>
      </x:c>
    </x:row>
    <x:row r="43" ht="46" customHeight="1">
      <x:c r="A43" s="37" t="n">
        <x:v>38</x:v>
      </x:c>
      <x:c r="B43" s="35" t="str">
        <x:v>M04</x:v>
      </x:c>
      <x:c r="C43" s="35" t="str">
        <x:v>Practical</x:v>
      </x:c>
      <x:c r="D43" s="26" t="str">
        <x:v>Storyboard, accessible sequence and portfolio assembly</x:v>
      </x:c>
      <x:c r="E43" s="26" t="str">
        <x:v>m04s03-theory</x:v>
      </x:c>
      <x:c r="F43" s="26" t="str">
        <x:v>ala-m04s03-storyboard-portfolio-sequence-v1</x:v>
      </x:c>
      <x:c r="G43" s="26" t="str">
        <x:v>m04s03-media</x:v>
      </x:c>
      <x:c r="H43" s="26" t="str">
        <x:v>folio-m04s03-portfolio-presentation-story</x:v>
      </x:c>
      <x:c r="I43" s="26" t="str">
        <x:v>CMT5-COM-01; CMT5-DEP-01; CMT5-USE-01</x:v>
      </x:c>
      <x:c r="J43" s="26" t="str">
        <x:v>Six-frame storyboard; Accessible alternative; Curated portfolio sequence</x:v>
      </x:c>
      <x:c r="K43" s="26" t="str">
        <x:v>Onshape required for any CAD sequence; companion presentation software Teacher to confirm; Approved motion/presentation package and whether animation is required</x:v>
      </x:c>
    </x:row>
    <x:row r="44" ht="46" customHeight="1">
      <x:c r="A44" s="36" t="n">
        <x:v>39</x:v>
      </x:c>
      <x:c r="B44" s="34" t="str">
        <x:v>M04</x:v>
      </x:c>
      <x:c r="C44" s="34" t="str">
        <x:v>Project/folio</x:v>
      </x:c>
      <x:c r="D44" s="33" t="str">
        <x:v>Collaborative critique and evidence-led revision</x:v>
      </x:c>
      <x:c r="E44" s="33" t="str">
        <x:v>m04s03-theory</x:v>
      </x:c>
      <x:c r="F44" s="33" t="str">
        <x:v>ala-m04s03-storyboard-portfolio-sequence-v1</x:v>
      </x:c>
      <x:c r="G44" s="33" t="str">
        <x:v>m04s03-media</x:v>
      </x:c>
      <x:c r="H44" s="33" t="str">
        <x:v>folio-m04s03-portfolio-presentation-story</x:v>
      </x:c>
      <x:c r="I44" s="33" t="str">
        <x:v>CMT5-COM-01; CMT5-DES-02; CMT5-PMP-01</x:v>
      </x:c>
      <x:c r="J44" s="33" t="str">
        <x:v>Peer-feedback record; Accept-reject-revise decision; Revised portfolio or presentation evidence</x:v>
      </x:c>
      <x:c r="K44" s="33" t="str">
        <x:v>teacher managed collaborative activity; grouping and participation adjustments Teacher to confirm; Grouping, timing, accessibility adjustments and privacy-safe critique conditions</x:v>
      </x:c>
    </x:row>
    <x:row r="45" ht="46" customHeight="1">
      <x:c r="A45" s="37" t="n">
        <x:v>40</x:v>
      </x:c>
      <x:c r="B45" s="35" t="str">
        <x:v>M04</x:v>
      </x:c>
      <x:c r="C45" s="35" t="str">
        <x:v>Project/folio</x:v>
      </x:c>
      <x:c r="D45" s="26" t="str">
        <x:v>Final section package, module review and Year 9 handoff</x:v>
      </x:c>
      <x:c r="E45" s="26" t="str">
        <x:v>m04s01-theory; m04s02-theory; m04s03-theory</x:v>
      </x:c>
      <x:c r="F45" s="26" t="str">
        <x:v>ala-m04s01-audience-source-ethics-check-v1; ala-m04s02-format-colour-layout-decision-v1; ala-m04s03-storyboard-portfolio-sequence-v1</x:v>
      </x:c>
      <x:c r="G45" s="26" t="str">
        <x:v>m04s01-media; m04s02-media; m04s03-media</x:v>
      </x:c>
      <x:c r="H45" s="26" t="str">
        <x:v>folio-m04s01-audience-source-decision; folio-m04s02-layout-output-rationale; folio-m04s03-portfolio-presentation-story</x:v>
      </x:c>
      <x:c r="I45" s="26" t="str">
        <x:v>CMT5-COM-01; CMT5-ENV-01; CMT5-PMP-01; CMT5-IET-01</x:v>
      </x:c>
      <x:c r="J45" s="26" t="str">
        <x:v>10 checked MCQs; m04s03 capstone; m04 review checklist; Project B Year 9 folio gate; Year 10 carry-forward note</x:v>
      </x:c>
      <x:c r="K45" s="26" t="str">
        <x:v>Formal assessment status, task name, weighting, due date, notification, moderation and submission arrangements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34" hidden="0" customWidth="1"/>
    <x:col min="4" max="4" width="15" hidden="0" customWidth="1"/>
    <x:col min="5" max="5" width="16" hidden="0" customWidth="1"/>
    <x:col min="6" max="6" width="12" hidden="0" customWidth="1"/>
    <x:col min="7" max="7" width="32" hidden="0" customWidth="1"/>
    <x:col min="8" max="8" width="18" hidden="0" customWidth="1"/>
    <x:col min="9" max="9" width="30" hidden="0" customWidth="1"/>
    <x:col min="10" max="10" width="28" hidden="0" customWidth="1"/>
    <x:col min="11" max="11" width="16" hidden="0" customWidth="1"/>
  </x:cols>
  <x:sheetData>
    <x:row r="1" ht="30" customHeight="1">
      <x:c r="A1" s="3" t="str">
        <x:v>Year 9 delivery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Enter actual delivery evidence only. Blank dates, initials and sign-off fields are intentional; the plan does not invent local delivery or assessment records.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>
      <x:c r="A5" s="22" t="str">
        <x:v>Block</x:v>
      </x:c>
      <x:c r="B5" s="22" t="str">
        <x:v>Module</x:v>
      </x:c>
      <x:c r="C5" s="22" t="str">
        <x:v>Planned focus</x:v>
      </x:c>
      <x:c r="D5" s="22" t="str">
        <x:v>Actual date</x:v>
      </x:c>
      <x:c r="E5" s="22" t="str">
        <x:v>Status</x:v>
      </x:c>
      <x:c r="F5" s="22" t="str">
        <x:v>Initials</x:v>
      </x:c>
      <x:c r="G5" s="22" t="str">
        <x:v>Completion / variance</x:v>
      </x:c>
      <x:c r="H5" s="22" t="str">
        <x:v>Evidence checked</x:v>
      </x:c>
      <x:c r="I5" s="22" t="str">
        <x:v>Adjustments</x:v>
      </x:c>
      <x:c r="J5" s="22" t="str">
        <x:v>Follow-up</x:v>
      </x:c>
      <x:c r="K5" s="22" t="str">
        <x:v>Sign-off</x:v>
      </x:c>
    </x:row>
    <x:row r="6" ht="36" customHeight="1">
      <x:c r="A6" s="33" t="n">
        <x:f>'Year 9 Plan'!A6</x:f>
        <x:v>1</x:v>
      </x:c>
      <x:c r="B6" s="33" t="str">
        <x:f>'Year 9 Plan'!B6</x:f>
        <x:v>M01</x:v>
      </x:c>
      <x:c r="C6" s="33" t="str">
        <x:f>'Year 9 Plan'!D6</x:f>
        <x:v>Course boundary, risk-aware start and line language</x:v>
      </x:c>
      <x:c r="D6" s="38" t="str"/>
      <x:c r="E6" s="33" t="str">
        <x:v>Not started</x:v>
      </x:c>
      <x:c r="F6" s="33" t="str"/>
      <x:c r="G6" s="33" t="str"/>
      <x:c r="H6" s="33" t="str">
        <x:v>Not checked</x:v>
      </x:c>
      <x:c r="I6" s="33" t="str"/>
      <x:c r="J6" s="33" t="str"/>
      <x:c r="K6" s="33" t="str">
        <x:v>Not signed</x:v>
      </x:c>
    </x:row>
    <x:row r="7" ht="36" customHeight="1">
      <x:c r="A7" s="26" t="n">
        <x:f>'Year 9 Plan'!A7</x:f>
        <x:v>2</x:v>
      </x:c>
      <x:c r="B7" s="26" t="str">
        <x:f>'Year 9 Plan'!B7</x:f>
        <x:v>M01</x:v>
      </x:c>
      <x:c r="C7" s="26" t="str">
        <x:f>'Year 9 Plan'!D7</x:f>
        <x:v>Instrument selection and line-purpose practice</x:v>
      </x:c>
      <x:c r="D7" s="39" t="str"/>
      <x:c r="E7" s="26" t="str">
        <x:v>Not started</x:v>
      </x:c>
      <x:c r="F7" s="26" t="str"/>
      <x:c r="G7" s="26" t="str"/>
      <x:c r="H7" s="26" t="str">
        <x:v>Not checked</x:v>
      </x:c>
      <x:c r="I7" s="26" t="str"/>
      <x:c r="J7" s="26" t="str"/>
      <x:c r="K7" s="26" t="str">
        <x:v>Not signed</x:v>
      </x:c>
    </x:row>
    <x:row r="8" ht="36" customHeight="1">
      <x:c r="A8" s="33" t="n">
        <x:f>'Year 9 Plan'!A8</x:f>
        <x:v>3</x:v>
      </x:c>
      <x:c r="B8" s="33" t="str">
        <x:f>'Year 9 Plan'!B8</x:f>
        <x:v>M01</x:v>
      </x:c>
      <x:c r="C8" s="33" t="str">
        <x:f>'Year 9 Plan'!D8</x:f>
        <x:v>Safe-studio and line-language evidence package</x:v>
      </x:c>
      <x:c r="D8" s="38" t="str"/>
      <x:c r="E8" s="33" t="str">
        <x:v>Not started</x:v>
      </x:c>
      <x:c r="F8" s="33" t="str"/>
      <x:c r="G8" s="33" t="str"/>
      <x:c r="H8" s="33" t="str">
        <x:v>Not checked</x:v>
      </x:c>
      <x:c r="I8" s="33" t="str"/>
      <x:c r="J8" s="33" t="str"/>
      <x:c r="K8" s="33" t="str">
        <x:v>Not signed</x:v>
      </x:c>
    </x:row>
    <x:row r="9" ht="36" customHeight="1">
      <x:c r="A9" s="26" t="n">
        <x:f>'Year 9 Plan'!A9</x:f>
        <x:v>4</x:v>
      </x:c>
      <x:c r="B9" s="26" t="str">
        <x:f>'Year 9 Plan'!B9</x:f>
        <x:v>M01</x:v>
      </x:c>
      <x:c r="C9" s="26" t="str">
        <x:f>'Year 9 Plan'!D9</x:f>
        <x:v>Sketching, construction and rendering as different communication moves</x:v>
      </x:c>
      <x:c r="D9" s="39" t="str"/>
      <x:c r="E9" s="26" t="str">
        <x:v>Not started</x:v>
      </x:c>
      <x:c r="F9" s="26" t="str"/>
      <x:c r="G9" s="26" t="str"/>
      <x:c r="H9" s="26" t="str">
        <x:v>Not checked</x:v>
      </x:c>
      <x:c r="I9" s="26" t="str"/>
      <x:c r="J9" s="26" t="str"/>
      <x:c r="K9" s="26" t="str">
        <x:v>Not signed</x:v>
      </x:c>
    </x:row>
    <x:row r="10" ht="36" customHeight="1">
      <x:c r="A10" s="33" t="n">
        <x:f>'Year 9 Plan'!A10</x:f>
        <x:v>5</x:v>
      </x:c>
      <x:c r="B10" s="33" t="str">
        <x:f>'Year 9 Plan'!B10</x:f>
        <x:v>M01</x:v>
      </x:c>
      <x:c r="C10" s="33" t="str">
        <x:f>'Year 9 Plan'!D10</x:f>
        <x:v>Geometric construction and coherent rendering</x:v>
      </x:c>
      <x:c r="D10" s="38" t="str"/>
      <x:c r="E10" s="33" t="str">
        <x:v>Not started</x:v>
      </x:c>
      <x:c r="F10" s="33" t="str"/>
      <x:c r="G10" s="33" t="str"/>
      <x:c r="H10" s="33" t="str">
        <x:v>Not checked</x:v>
      </x:c>
      <x:c r="I10" s="33" t="str"/>
      <x:c r="J10" s="33" t="str"/>
      <x:c r="K10" s="33" t="str">
        <x:v>Not signed</x:v>
      </x:c>
    </x:row>
    <x:row r="11" ht="36" customHeight="1">
      <x:c r="A11" s="26" t="n">
        <x:f>'Year 9 Plan'!A11</x:f>
        <x:v>6</x:v>
      </x:c>
      <x:c r="B11" s="26" t="str">
        <x:f>'Year 9 Plan'!B11</x:f>
        <x:v>M01</x:v>
      </x:c>
      <x:c r="C11" s="26" t="str">
        <x:f>'Year 9 Plan'!D11</x:f>
        <x:v>Sketch-to-render evidence package</x:v>
      </x:c>
      <x:c r="D11" s="39" t="str"/>
      <x:c r="E11" s="26" t="str">
        <x:v>Not started</x:v>
      </x:c>
      <x:c r="F11" s="26" t="str"/>
      <x:c r="G11" s="26" t="str"/>
      <x:c r="H11" s="26" t="str">
        <x:v>Not checked</x:v>
      </x:c>
      <x:c r="I11" s="26" t="str"/>
      <x:c r="J11" s="26" t="str"/>
      <x:c r="K11" s="26" t="str">
        <x:v>Not signed</x:v>
      </x:c>
    </x:row>
    <x:row r="12" ht="36" customHeight="1">
      <x:c r="A12" s="33" t="n">
        <x:f>'Year 9 Plan'!A12</x:f>
        <x:v>7</x:v>
      </x:c>
      <x:c r="B12" s="33" t="str">
        <x:f>'Year 9 Plan'!B12</x:f>
        <x:v>M01</x:v>
      </x:c>
      <x:c r="C12" s="33" t="str">
        <x:f>'Year 9 Plan'!D12</x:f>
        <x:v>One object, coordinated views and controlled dimensions</x:v>
      </x:c>
      <x:c r="D12" s="38" t="str"/>
      <x:c r="E12" s="33" t="str">
        <x:v>Not started</x:v>
      </x:c>
      <x:c r="F12" s="33" t="str"/>
      <x:c r="G12" s="33" t="str"/>
      <x:c r="H12" s="33" t="str">
        <x:v>Not checked</x:v>
      </x:c>
      <x:c r="I12" s="33" t="str"/>
      <x:c r="J12" s="33" t="str"/>
      <x:c r="K12" s="33" t="str">
        <x:v>Not signed</x:v>
      </x:c>
    </x:row>
    <x:row r="13" ht="36" customHeight="1">
      <x:c r="A13" s="26" t="n">
        <x:f>'Year 9 Plan'!A13</x:f>
        <x:v>8</x:v>
      </x:c>
      <x:c r="B13" s="26" t="str">
        <x:f>'Year 9 Plan'!B13</x:f>
        <x:v>M01</x:v>
      </x:c>
      <x:c r="C13" s="26" t="str">
        <x:f>'Year 9 Plan'!D13</x:f>
        <x:v>Coordinated view and dimensioning practice</x:v>
      </x:c>
      <x:c r="D13" s="39" t="str"/>
      <x:c r="E13" s="26" t="str">
        <x:v>Not started</x:v>
      </x:c>
      <x:c r="F13" s="26" t="str"/>
      <x:c r="G13" s="26" t="str"/>
      <x:c r="H13" s="26" t="str">
        <x:v>Not checked</x:v>
      </x:c>
      <x:c r="I13" s="26" t="str"/>
      <x:c r="J13" s="26" t="str"/>
      <x:c r="K13" s="26" t="str">
        <x:v>Not signed</x:v>
      </x:c>
    </x:row>
    <x:row r="14" ht="36" customHeight="1">
      <x:c r="A14" s="33" t="n">
        <x:f>'Year 9 Plan'!A14</x:f>
        <x:v>9</x:v>
      </x:c>
      <x:c r="B14" s="33" t="str">
        <x:f>'Year 9 Plan'!B14</x:f>
        <x:v>M01</x:v>
      </x:c>
      <x:c r="C14" s="33" t="str">
        <x:f>'Year 9 Plan'!D14</x:f>
        <x:v>Views, projection and dimensions evidence package</x:v>
      </x:c>
      <x:c r="D14" s="38" t="str"/>
      <x:c r="E14" s="33" t="str">
        <x:v>Not started</x:v>
      </x:c>
      <x:c r="F14" s="33" t="str"/>
      <x:c r="G14" s="33" t="str"/>
      <x:c r="H14" s="33" t="str">
        <x:v>Not checked</x:v>
      </x:c>
      <x:c r="I14" s="33" t="str"/>
      <x:c r="J14" s="33" t="str"/>
      <x:c r="K14" s="33" t="str">
        <x:v>Not signed</x:v>
      </x:c>
    </x:row>
    <x:row r="15" ht="36" customHeight="1">
      <x:c r="A15" s="26" t="n">
        <x:f>'Year 9 Plan'!A15</x:f>
        <x:v>10</x:v>
      </x:c>
      <x:c r="B15" s="26" t="str">
        <x:f>'Year 9 Plan'!B15</x:f>
        <x:v>M01</x:v>
      </x:c>
      <x:c r="C15" s="26" t="str">
        <x:f>'Year 9 Plan'!D15</x:f>
        <x:v>Module review and Project A foundation checkpoint</x:v>
      </x:c>
      <x:c r="D15" s="39" t="str"/>
      <x:c r="E15" s="26" t="str">
        <x:v>Not started</x:v>
      </x:c>
      <x:c r="F15" s="26" t="str"/>
      <x:c r="G15" s="26" t="str"/>
      <x:c r="H15" s="26" t="str">
        <x:v>Not checked</x:v>
      </x:c>
      <x:c r="I15" s="26" t="str"/>
      <x:c r="J15" s="26" t="str"/>
      <x:c r="K15" s="26" t="str">
        <x:v>Not signed</x:v>
      </x:c>
    </x:row>
    <x:row r="16" ht="36" customHeight="1">
      <x:c r="A16" s="33" t="n">
        <x:f>'Year 9 Plan'!A16</x:f>
        <x:v>11</x:v>
      </x:c>
      <x:c r="B16" s="33" t="str">
        <x:f>'Year 9 Plan'!B16</x:f>
        <x:v>M02</x:v>
      </x:c>
      <x:c r="C16" s="33" t="str">
        <x:f>'Year 9 Plan'!D16</x:f>
        <x:v>Onshape document map, sketch planes and constraints</x:v>
      </x:c>
      <x:c r="D16" s="38" t="str"/>
      <x:c r="E16" s="33" t="str">
        <x:v>Not started</x:v>
      </x:c>
      <x:c r="F16" s="33" t="str"/>
      <x:c r="G16" s="33" t="str"/>
      <x:c r="H16" s="33" t="str">
        <x:v>Not checked</x:v>
      </x:c>
      <x:c r="I16" s="33" t="str"/>
      <x:c r="J16" s="33" t="str"/>
      <x:c r="K16" s="33" t="str">
        <x:v>Not signed</x:v>
      </x:c>
    </x:row>
    <x:row r="17" ht="36" customHeight="1">
      <x:c r="A17" s="26" t="n">
        <x:f>'Year 9 Plan'!A17</x:f>
        <x:v>12</x:v>
      </x:c>
      <x:c r="B17" s="26" t="str">
        <x:f>'Year 9 Plan'!B17</x:f>
        <x:v>M02</x:v>
      </x:c>
      <x:c r="C17" s="26" t="str">
        <x:f>'Year 9 Plan'!D17</x:f>
        <x:v>Constrained Onshape sketch</x:v>
      </x:c>
      <x:c r="D17" s="39" t="str"/>
      <x:c r="E17" s="26" t="str">
        <x:v>Not started</x:v>
      </x:c>
      <x:c r="F17" s="26" t="str"/>
      <x:c r="G17" s="26" t="str"/>
      <x:c r="H17" s="26" t="str">
        <x:v>Not checked</x:v>
      </x:c>
      <x:c r="I17" s="26" t="str"/>
      <x:c r="J17" s="26" t="str"/>
      <x:c r="K17" s="26" t="str">
        <x:v>Not signed</x:v>
      </x:c>
    </x:row>
    <x:row r="18" ht="36" customHeight="1">
      <x:c r="A18" s="33" t="n">
        <x:f>'Year 9 Plan'!A18</x:f>
        <x:v>13</x:v>
      </x:c>
      <x:c r="B18" s="33" t="str">
        <x:f>'Year 9 Plan'!B18</x:f>
        <x:v>M02</x:v>
      </x:c>
      <x:c r="C18" s="33" t="str">
        <x:f>'Year 9 Plan'!D18</x:f>
        <x:v>Constraint-intent evidence package</x:v>
      </x:c>
      <x:c r="D18" s="38" t="str"/>
      <x:c r="E18" s="33" t="str">
        <x:v>Not started</x:v>
      </x:c>
      <x:c r="F18" s="33" t="str"/>
      <x:c r="G18" s="33" t="str"/>
      <x:c r="H18" s="33" t="str">
        <x:v>Not checked</x:v>
      </x:c>
      <x:c r="I18" s="33" t="str"/>
      <x:c r="J18" s="33" t="str"/>
      <x:c r="K18" s="33" t="str">
        <x:v>Not signed</x:v>
      </x:c>
    </x:row>
    <x:row r="19" ht="36" customHeight="1">
      <x:c r="A19" s="26" t="n">
        <x:f>'Year 9 Plan'!A19</x:f>
        <x:v>14</x:v>
      </x:c>
      <x:c r="B19" s="26" t="str">
        <x:f>'Year 9 Plan'!B19</x:f>
        <x:v>M02</x:v>
      </x:c>
      <x:c r="C19" s="26" t="str">
        <x:f>'Year 9 Plan'!D19</x:f>
        <x:v>Features, history and robust design intent</x:v>
      </x:c>
      <x:c r="D19" s="39" t="str"/>
      <x:c r="E19" s="26" t="str">
        <x:v>Not started</x:v>
      </x:c>
      <x:c r="F19" s="26" t="str"/>
      <x:c r="G19" s="26" t="str"/>
      <x:c r="H19" s="26" t="str">
        <x:v>Not checked</x:v>
      </x:c>
      <x:c r="I19" s="26" t="str"/>
      <x:c r="J19" s="26" t="str"/>
      <x:c r="K19" s="26" t="str">
        <x:v>Not signed</x:v>
      </x:c>
    </x:row>
    <x:row r="20" ht="36" customHeight="1">
      <x:c r="A20" s="33" t="n">
        <x:f>'Year 9 Plan'!A20</x:f>
        <x:v>15</x:v>
      </x:c>
      <x:c r="B20" s="33" t="str">
        <x:f>'Year 9 Plan'!B20</x:f>
        <x:v>M02</x:v>
      </x:c>
      <x:c r="C20" s="33" t="str">
        <x:f>'Year 9 Plan'!D20</x:f>
        <x:v>Onshape feature sequence and change test</x:v>
      </x:c>
      <x:c r="D20" s="38" t="str"/>
      <x:c r="E20" s="33" t="str">
        <x:v>Not started</x:v>
      </x:c>
      <x:c r="F20" s="33" t="str"/>
      <x:c r="G20" s="33" t="str"/>
      <x:c r="H20" s="33" t="str">
        <x:v>Not checked</x:v>
      </x:c>
      <x:c r="I20" s="33" t="str"/>
      <x:c r="J20" s="33" t="str"/>
      <x:c r="K20" s="33" t="str">
        <x:v>Not signed</x:v>
      </x:c>
    </x:row>
    <x:row r="21" ht="36" customHeight="1">
      <x:c r="A21" s="26" t="n">
        <x:f>'Year 9 Plan'!A21</x:f>
        <x:v>16</x:v>
      </x:c>
      <x:c r="B21" s="26" t="str">
        <x:f>'Year 9 Plan'!B21</x:f>
        <x:v>M02</x:v>
      </x:c>
      <x:c r="C21" s="26" t="str">
        <x:f>'Year 9 Plan'!D21</x:f>
        <x:v>Feature-history evidence package</x:v>
      </x:c>
      <x:c r="D21" s="39" t="str"/>
      <x:c r="E21" s="26" t="str">
        <x:v>Not started</x:v>
      </x:c>
      <x:c r="F21" s="26" t="str"/>
      <x:c r="G21" s="26" t="str"/>
      <x:c r="H21" s="26" t="str">
        <x:v>Not checked</x:v>
      </x:c>
      <x:c r="I21" s="26" t="str"/>
      <x:c r="J21" s="26" t="str"/>
      <x:c r="K21" s="26" t="str">
        <x:v>Not signed</x:v>
      </x:c>
    </x:row>
    <x:row r="22" ht="36" customHeight="1">
      <x:c r="A22" s="33" t="n">
        <x:f>'Year 9 Plan'!A22</x:f>
        <x:v>17</x:v>
      </x:c>
      <x:c r="B22" s="33" t="str">
        <x:f>'Year 9 Plan'!B22</x:f>
        <x:v>M02</x:v>
      </x:c>
      <x:c r="C22" s="33" t="str">
        <x:f>'Year 9 Plan'!D22</x:f>
        <x:v>Model, drawing, export and version as different information states</x:v>
      </x:c>
      <x:c r="D22" s="38" t="str"/>
      <x:c r="E22" s="33" t="str">
        <x:v>Not started</x:v>
      </x:c>
      <x:c r="F22" s="33" t="str"/>
      <x:c r="G22" s="33" t="str"/>
      <x:c r="H22" s="33" t="str">
        <x:v>Not checked</x:v>
      </x:c>
      <x:c r="I22" s="33" t="str"/>
      <x:c r="J22" s="33" t="str"/>
      <x:c r="K22" s="33" t="str">
        <x:v>Not signed</x:v>
      </x:c>
    </x:row>
    <x:row r="23" ht="36" customHeight="1">
      <x:c r="A23" s="26" t="n">
        <x:f>'Year 9 Plan'!A23</x:f>
        <x:v>18</x:v>
      </x:c>
      <x:c r="B23" s="26" t="str">
        <x:f>'Year 9 Plan'!B23</x:f>
        <x:v>M02</x:v>
      </x:c>
      <x:c r="C23" s="26" t="str">
        <x:f>'Year 9 Plan'!D23</x:f>
        <x:v>Onshape drawing and controlled handoff</x:v>
      </x:c>
      <x:c r="D23" s="39" t="str"/>
      <x:c r="E23" s="26" t="str">
        <x:v>Not started</x:v>
      </x:c>
      <x:c r="F23" s="26" t="str"/>
      <x:c r="G23" s="26" t="str"/>
      <x:c r="H23" s="26" t="str">
        <x:v>Not checked</x:v>
      </x:c>
      <x:c r="I23" s="26" t="str"/>
      <x:c r="J23" s="26" t="str"/>
      <x:c r="K23" s="26" t="str">
        <x:v>Not signed</x:v>
      </x:c>
    </x:row>
    <x:row r="24" ht="36" customHeight="1">
      <x:c r="A24" s="33" t="n">
        <x:f>'Year 9 Plan'!A24</x:f>
        <x:v>19</x:v>
      </x:c>
      <x:c r="B24" s="33" t="str">
        <x:f>'Year 9 Plan'!B24</x:f>
        <x:v>M02</x:v>
      </x:c>
      <x:c r="C24" s="33" t="str">
        <x:f>'Year 9 Plan'!D24</x:f>
        <x:v>Drawing, export and version evidence package</x:v>
      </x:c>
      <x:c r="D24" s="38" t="str"/>
      <x:c r="E24" s="33" t="str">
        <x:v>Not started</x:v>
      </x:c>
      <x:c r="F24" s="33" t="str"/>
      <x:c r="G24" s="33" t="str"/>
      <x:c r="H24" s="33" t="str">
        <x:v>Not checked</x:v>
      </x:c>
      <x:c r="I24" s="33" t="str"/>
      <x:c r="J24" s="33" t="str"/>
      <x:c r="K24" s="33" t="str">
        <x:v>Not signed</x:v>
      </x:c>
    </x:row>
    <x:row r="25" ht="36" customHeight="1">
      <x:c r="A25" s="26" t="n">
        <x:f>'Year 9 Plan'!A25</x:f>
        <x:v>20</x:v>
      </x:c>
      <x:c r="B25" s="26" t="str">
        <x:f>'Year 9 Plan'!B25</x:f>
        <x:v>M02</x:v>
      </x:c>
      <x:c r="C25" s="26" t="str">
        <x:f>'Year 9 Plan'!D25</x:f>
        <x:v>Module review and Project A folio gate</x:v>
      </x:c>
      <x:c r="D25" s="39" t="str"/>
      <x:c r="E25" s="26" t="str">
        <x:v>Not started</x:v>
      </x:c>
      <x:c r="F25" s="26" t="str"/>
      <x:c r="G25" s="26" t="str"/>
      <x:c r="H25" s="26" t="str">
        <x:v>Not checked</x:v>
      </x:c>
      <x:c r="I25" s="26" t="str"/>
      <x:c r="J25" s="26" t="str"/>
      <x:c r="K25" s="26" t="str">
        <x:v>Not signed</x:v>
      </x:c>
    </x:row>
    <x:row r="26" ht="36" customHeight="1">
      <x:c r="A26" s="33" t="n">
        <x:f>'Year 9 Plan'!A26</x:f>
        <x:v>21</x:v>
      </x:c>
      <x:c r="B26" s="33" t="str">
        <x:f>'Year 9 Plan'!B26</x:f>
        <x:v>M03</x:v>
      </x:c>
      <x:c r="C26" s="33" t="str">
        <x:f>'Year 9 Plan'!D26</x:f>
        <x:v>Research evidence, brief, specification and concept choice</x:v>
      </x:c>
      <x:c r="D26" s="38" t="str"/>
      <x:c r="E26" s="33" t="str">
        <x:v>Not started</x:v>
      </x:c>
      <x:c r="F26" s="33" t="str"/>
      <x:c r="G26" s="33" t="str"/>
      <x:c r="H26" s="33" t="str">
        <x:v>Not checked</x:v>
      </x:c>
      <x:c r="I26" s="33" t="str"/>
      <x:c r="J26" s="33" t="str"/>
      <x:c r="K26" s="33" t="str">
        <x:v>Not signed</x:v>
      </x:c>
    </x:row>
    <x:row r="27" ht="36" customHeight="1">
      <x:c r="A27" s="26" t="n">
        <x:f>'Year 9 Plan'!A27</x:f>
        <x:v>22</x:v>
      </x:c>
      <x:c r="B27" s="26" t="str">
        <x:f>'Year 9 Plan'!B27</x:f>
        <x:v>M03</x:v>
      </x:c>
      <x:c r="C27" s="26" t="str">
        <x:f>'Year 9 Plan'!D27</x:f>
        <x:v>Product evidence audit and concept generation</x:v>
      </x:c>
      <x:c r="D27" s="39" t="str"/>
      <x:c r="E27" s="26" t="str">
        <x:v>Not started</x:v>
      </x:c>
      <x:c r="F27" s="26" t="str"/>
      <x:c r="G27" s="26" t="str"/>
      <x:c r="H27" s="26" t="str">
        <x:v>Not checked</x:v>
      </x:c>
      <x:c r="I27" s="26" t="str"/>
      <x:c r="J27" s="26" t="str"/>
      <x:c r="K27" s="26" t="str">
        <x:v>Not signed</x:v>
      </x:c>
    </x:row>
    <x:row r="28" ht="36" customHeight="1">
      <x:c r="A28" s="33" t="n">
        <x:f>'Year 9 Plan'!A28</x:f>
        <x:v>23</x:v>
      </x:c>
      <x:c r="B28" s="33" t="str">
        <x:f>'Year 9 Plan'!B28</x:f>
        <x:v>M03</x:v>
      </x:c>
      <x:c r="C28" s="33" t="str">
        <x:f>'Year 9 Plan'!D28</x:f>
        <x:v>Research and concept-choice evidence package</x:v>
      </x:c>
      <x:c r="D28" s="38" t="str"/>
      <x:c r="E28" s="33" t="str">
        <x:v>Not started</x:v>
      </x:c>
      <x:c r="F28" s="33" t="str"/>
      <x:c r="G28" s="33" t="str"/>
      <x:c r="H28" s="33" t="str">
        <x:v>Not checked</x:v>
      </x:c>
      <x:c r="I28" s="33" t="str"/>
      <x:c r="J28" s="33" t="str"/>
      <x:c r="K28" s="33" t="str">
        <x:v>Not signed</x:v>
      </x:c>
    </x:row>
    <x:row r="29" ht="36" customHeight="1">
      <x:c r="A29" s="26" t="n">
        <x:f>'Year 9 Plan'!A29</x:f>
        <x:v>24</x:v>
      </x:c>
      <x:c r="B29" s="26" t="str">
        <x:f>'Year 9 Plan'!B29</x:f>
        <x:v>M03</x:v>
      </x:c>
      <x:c r="C29" s="26" t="str">
        <x:f>'Year 9 Plan'!D29</x:f>
        <x:v>Part hierarchy, cutting lists, parts lists and assemblies</x:v>
      </x:c>
      <x:c r="D29" s="39" t="str"/>
      <x:c r="E29" s="26" t="str">
        <x:v>Not started</x:v>
      </x:c>
      <x:c r="F29" s="26" t="str"/>
      <x:c r="G29" s="26" t="str"/>
      <x:c r="H29" s="26" t="str">
        <x:v>Not checked</x:v>
      </x:c>
      <x:c r="I29" s="26" t="str"/>
      <x:c r="J29" s="26" t="str"/>
      <x:c r="K29" s="26" t="str">
        <x:v>Not signed</x:v>
      </x:c>
    </x:row>
    <x:row r="30" ht="36" customHeight="1">
      <x:c r="A30" s="33" t="n">
        <x:f>'Year 9 Plan'!A30</x:f>
        <x:v>25</x:v>
      </x:c>
      <x:c r="B30" s="33" t="str">
        <x:f>'Year 9 Plan'!B30</x:f>
        <x:v>M03</x:v>
      </x:c>
      <x:c r="C30" s="33" t="str">
        <x:f>'Year 9 Plan'!D30</x:f>
        <x:v>Onshape assembly and list relationship</x:v>
      </x:c>
      <x:c r="D30" s="38" t="str"/>
      <x:c r="E30" s="33" t="str">
        <x:v>Not started</x:v>
      </x:c>
      <x:c r="F30" s="33" t="str"/>
      <x:c r="G30" s="33" t="str"/>
      <x:c r="H30" s="33" t="str">
        <x:v>Not checked</x:v>
      </x:c>
      <x:c r="I30" s="33" t="str"/>
      <x:c r="J30" s="33" t="str"/>
      <x:c r="K30" s="33" t="str">
        <x:v>Not signed</x:v>
      </x:c>
    </x:row>
    <x:row r="31" ht="36" customHeight="1">
      <x:c r="A31" s="26" t="n">
        <x:f>'Year 9 Plan'!A31</x:f>
        <x:v>26</x:v>
      </x:c>
      <x:c r="B31" s="26" t="str">
        <x:f>'Year 9 Plan'!B31</x:f>
        <x:v>M03</x:v>
      </x:c>
      <x:c r="C31" s="26" t="str">
        <x:f>'Year 9 Plan'!D31</x:f>
        <x:v>Parts and assembly evidence package</x:v>
      </x:c>
      <x:c r="D31" s="39" t="str"/>
      <x:c r="E31" s="26" t="str">
        <x:v>Not started</x:v>
      </x:c>
      <x:c r="F31" s="26" t="str"/>
      <x:c r="G31" s="26" t="str"/>
      <x:c r="H31" s="26" t="str">
        <x:v>Not checked</x:v>
      </x:c>
      <x:c r="I31" s="26" t="str"/>
      <x:c r="J31" s="26" t="str"/>
      <x:c r="K31" s="26" t="str">
        <x:v>Not signed</x:v>
      </x:c>
    </x:row>
    <x:row r="32" ht="36" customHeight="1">
      <x:c r="A32" s="33" t="n">
        <x:f>'Year 9 Plan'!A32</x:f>
        <x:v>27</x:v>
      </x:c>
      <x:c r="B32" s="33" t="str">
        <x:f>'Year 9 Plan'!B32</x:f>
        <x:v>M03</x:v>
      </x:c>
      <x:c r="C32" s="33" t="str">
        <x:f>'Year 9 Plan'!D32</x:f>
        <x:v>Prototype purpose, test evidence, feedback and evaluation</x:v>
      </x:c>
      <x:c r="D32" s="38" t="str"/>
      <x:c r="E32" s="33" t="str">
        <x:v>Not started</x:v>
      </x:c>
      <x:c r="F32" s="33" t="str"/>
      <x:c r="G32" s="33" t="str"/>
      <x:c r="H32" s="33" t="str">
        <x:v>Not checked</x:v>
      </x:c>
      <x:c r="I32" s="33" t="str"/>
      <x:c r="J32" s="33" t="str"/>
      <x:c r="K32" s="33" t="str">
        <x:v>Not signed</x:v>
      </x:c>
    </x:row>
    <x:row r="33" ht="36" customHeight="1">
      <x:c r="A33" s="26" t="n">
        <x:f>'Year 9 Plan'!A33</x:f>
        <x:v>28</x:v>
      </x:c>
      <x:c r="B33" s="26" t="str">
        <x:f>'Year 9 Plan'!B33</x:f>
        <x:v>M03</x:v>
      </x:c>
      <x:c r="C33" s="26" t="str">
        <x:f>'Year 9 Plan'!D33</x:f>
        <x:v>Digital prototype test and revision in Onshape</x:v>
      </x:c>
      <x:c r="D33" s="39" t="str"/>
      <x:c r="E33" s="26" t="str">
        <x:v>Not started</x:v>
      </x:c>
      <x:c r="F33" s="26" t="str"/>
      <x:c r="G33" s="26" t="str"/>
      <x:c r="H33" s="26" t="str">
        <x:v>Not checked</x:v>
      </x:c>
      <x:c r="I33" s="26" t="str"/>
      <x:c r="J33" s="26" t="str"/>
      <x:c r="K33" s="26" t="str">
        <x:v>Not signed</x:v>
      </x:c>
    </x:row>
    <x:row r="34" ht="36" customHeight="1">
      <x:c r="A34" s="33" t="n">
        <x:f>'Year 9 Plan'!A34</x:f>
        <x:v>29</x:v>
      </x:c>
      <x:c r="B34" s="33" t="str">
        <x:f>'Year 9 Plan'!B34</x:f>
        <x:v>M03</x:v>
      </x:c>
      <x:c r="C34" s="33" t="str">
        <x:f>'Year 9 Plan'!D34</x:f>
        <x:v>Prototype-test evidence package</x:v>
      </x:c>
      <x:c r="D34" s="38" t="str"/>
      <x:c r="E34" s="33" t="str">
        <x:v>Not started</x:v>
      </x:c>
      <x:c r="F34" s="33" t="str"/>
      <x:c r="G34" s="33" t="str"/>
      <x:c r="H34" s="33" t="str">
        <x:v>Not checked</x:v>
      </x:c>
      <x:c r="I34" s="33" t="str"/>
      <x:c r="J34" s="33" t="str"/>
      <x:c r="K34" s="33" t="str">
        <x:v>Not signed</x:v>
      </x:c>
    </x:row>
    <x:row r="35" ht="36" customHeight="1">
      <x:c r="A35" s="26" t="n">
        <x:f>'Year 9 Plan'!A35</x:f>
        <x:v>30</x:v>
      </x:c>
      <x:c r="B35" s="26" t="str">
        <x:f>'Year 9 Plan'!B35</x:f>
        <x:v>M03</x:v>
      </x:c>
      <x:c r="C35" s="26" t="str">
        <x:f>'Year 9 Plan'!D35</x:f>
        <x:v>Module review and Project B development checkpoint</x:v>
      </x:c>
      <x:c r="D35" s="39" t="str"/>
      <x:c r="E35" s="26" t="str">
        <x:v>Not started</x:v>
      </x:c>
      <x:c r="F35" s="26" t="str"/>
      <x:c r="G35" s="26" t="str"/>
      <x:c r="H35" s="26" t="str">
        <x:v>Not checked</x:v>
      </x:c>
      <x:c r="I35" s="26" t="str"/>
      <x:c r="J35" s="26" t="str"/>
      <x:c r="K35" s="26" t="str">
        <x:v>Not signed</x:v>
      </x:c>
    </x:row>
    <x:row r="36" ht="36" customHeight="1">
      <x:c r="A36" s="33" t="n">
        <x:f>'Year 9 Plan'!A36</x:f>
        <x:v>31</x:v>
      </x:c>
      <x:c r="B36" s="33" t="str">
        <x:f>'Year 9 Plan'!B36</x:f>
        <x:v>M04</x:v>
      </x:c>
      <x:c r="C36" s="33" t="str">
        <x:f>'Year 9 Plan'!D36</x:f>
        <x:v>Audience, design principles and ethical sources</x:v>
      </x:c>
      <x:c r="D36" s="38" t="str"/>
      <x:c r="E36" s="33" t="str">
        <x:v>Not started</x:v>
      </x:c>
      <x:c r="F36" s="33" t="str"/>
      <x:c r="G36" s="33" t="str"/>
      <x:c r="H36" s="33" t="str">
        <x:v>Not checked</x:v>
      </x:c>
      <x:c r="I36" s="33" t="str"/>
      <x:c r="J36" s="33" t="str"/>
      <x:c r="K36" s="33" t="str">
        <x:v>Not signed</x:v>
      </x:c>
    </x:row>
    <x:row r="37" ht="36" customHeight="1">
      <x:c r="A37" s="26" t="n">
        <x:f>'Year 9 Plan'!A37</x:f>
        <x:v>32</x:v>
      </x:c>
      <x:c r="B37" s="26" t="str">
        <x:f>'Year 9 Plan'!B37</x:f>
        <x:v>M04</x:v>
      </x:c>
      <x:c r="C37" s="26" t="str">
        <x:f>'Year 9 Plan'!D37</x:f>
        <x:v>Audience-led visual and source audit</x:v>
      </x:c>
      <x:c r="D37" s="39" t="str"/>
      <x:c r="E37" s="26" t="str">
        <x:v>Not started</x:v>
      </x:c>
      <x:c r="F37" s="26" t="str"/>
      <x:c r="G37" s="26" t="str"/>
      <x:c r="H37" s="26" t="str">
        <x:v>Not checked</x:v>
      </x:c>
      <x:c r="I37" s="26" t="str"/>
      <x:c r="J37" s="26" t="str"/>
      <x:c r="K37" s="26" t="str">
        <x:v>Not signed</x:v>
      </x:c>
    </x:row>
    <x:row r="38" ht="36" customHeight="1">
      <x:c r="A38" s="33" t="n">
        <x:f>'Year 9 Plan'!A38</x:f>
        <x:v>33</x:v>
      </x:c>
      <x:c r="B38" s="33" t="str">
        <x:f>'Year 9 Plan'!B38</x:f>
        <x:v>M04</x:v>
      </x:c>
      <x:c r="C38" s="33" t="str">
        <x:f>'Year 9 Plan'!D38</x:f>
        <x:v>Audience and source-ethics evidence package</x:v>
      </x:c>
      <x:c r="D38" s="38" t="str"/>
      <x:c r="E38" s="33" t="str">
        <x:v>Not started</x:v>
      </x:c>
      <x:c r="F38" s="33" t="str"/>
      <x:c r="G38" s="33" t="str"/>
      <x:c r="H38" s="33" t="str">
        <x:v>Not checked</x:v>
      </x:c>
      <x:c r="I38" s="33" t="str"/>
      <x:c r="J38" s="33" t="str"/>
      <x:c r="K38" s="33" t="str">
        <x:v>Not signed</x:v>
      </x:c>
    </x:row>
    <x:row r="39" ht="36" customHeight="1">
      <x:c r="A39" s="26" t="n">
        <x:f>'Year 9 Plan'!A39</x:f>
        <x:v>34</x:v>
      </x:c>
      <x:c r="B39" s="26" t="str">
        <x:f>'Year 9 Plan'!B39</x:f>
        <x:v>M04</x:v>
      </x:c>
      <x:c r="C39" s="26" t="str">
        <x:f>'Year 9 Plan'!D39</x:f>
        <x:v>Vector, raster, colour and layout decisions</x:v>
      </x:c>
      <x:c r="D39" s="39" t="str"/>
      <x:c r="E39" s="26" t="str">
        <x:v>Not started</x:v>
      </x:c>
      <x:c r="F39" s="26" t="str"/>
      <x:c r="G39" s="26" t="str"/>
      <x:c r="H39" s="26" t="str">
        <x:v>Not checked</x:v>
      </x:c>
      <x:c r="I39" s="26" t="str"/>
      <x:c r="J39" s="26" t="str"/>
      <x:c r="K39" s="26" t="str">
        <x:v>Not signed</x:v>
      </x:c>
    </x:row>
    <x:row r="40" ht="36" customHeight="1">
      <x:c r="A40" s="33" t="n">
        <x:f>'Year 9 Plan'!A40</x:f>
        <x:v>35</x:v>
      </x:c>
      <x:c r="B40" s="33" t="str">
        <x:f>'Year 9 Plan'!B40</x:f>
        <x:v>M04</x:v>
      </x:c>
      <x:c r="C40" s="33" t="str">
        <x:f>'Year 9 Plan'!D40</x:f>
        <x:v>Tool-neutral layout and output proof</x:v>
      </x:c>
      <x:c r="D40" s="38" t="str"/>
      <x:c r="E40" s="33" t="str">
        <x:v>Not started</x:v>
      </x:c>
      <x:c r="F40" s="33" t="str"/>
      <x:c r="G40" s="33" t="str"/>
      <x:c r="H40" s="33" t="str">
        <x:v>Not checked</x:v>
      </x:c>
      <x:c r="I40" s="33" t="str"/>
      <x:c r="J40" s="33" t="str"/>
      <x:c r="K40" s="33" t="str">
        <x:v>Not signed</x:v>
      </x:c>
    </x:row>
    <x:row r="41" ht="36" customHeight="1">
      <x:c r="A41" s="26" t="n">
        <x:f>'Year 9 Plan'!A41</x:f>
        <x:v>36</x:v>
      </x:c>
      <x:c r="B41" s="26" t="str">
        <x:f>'Year 9 Plan'!B41</x:f>
        <x:v>M04</x:v>
      </x:c>
      <x:c r="C41" s="26" t="str">
        <x:f>'Year 9 Plan'!D41</x:f>
        <x:v>Format, colour and layout evidence package</x:v>
      </x:c>
      <x:c r="D41" s="39" t="str"/>
      <x:c r="E41" s="26" t="str">
        <x:v>Not started</x:v>
      </x:c>
      <x:c r="F41" s="26" t="str"/>
      <x:c r="G41" s="26" t="str"/>
      <x:c r="H41" s="26" t="str">
        <x:v>Not checked</x:v>
      </x:c>
      <x:c r="I41" s="26" t="str"/>
      <x:c r="J41" s="26" t="str"/>
      <x:c r="K41" s="26" t="str">
        <x:v>Not signed</x:v>
      </x:c>
    </x:row>
    <x:row r="42" ht="36" customHeight="1">
      <x:c r="A42" s="33" t="n">
        <x:f>'Year 9 Plan'!A42</x:f>
        <x:v>37</x:v>
      </x:c>
      <x:c r="B42" s="33" t="str">
        <x:f>'Year 9 Plan'!B42</x:f>
        <x:v>M04</x:v>
      </x:c>
      <x:c r="C42" s="33" t="str">
        <x:f>'Year 9 Plan'!D42</x:f>
        <x:v>Purposeful motion, portfolio curation and audience-facing presentation</x:v>
      </x:c>
      <x:c r="D42" s="38" t="str"/>
      <x:c r="E42" s="33" t="str">
        <x:v>Not started</x:v>
      </x:c>
      <x:c r="F42" s="33" t="str"/>
      <x:c r="G42" s="33" t="str"/>
      <x:c r="H42" s="33" t="str">
        <x:v>Not checked</x:v>
      </x:c>
      <x:c r="I42" s="33" t="str"/>
      <x:c r="J42" s="33" t="str"/>
      <x:c r="K42" s="33" t="str">
        <x:v>Not signed</x:v>
      </x:c>
    </x:row>
    <x:row r="43" ht="36" customHeight="1">
      <x:c r="A43" s="26" t="n">
        <x:f>'Year 9 Plan'!A43</x:f>
        <x:v>38</x:v>
      </x:c>
      <x:c r="B43" s="26" t="str">
        <x:f>'Year 9 Plan'!B43</x:f>
        <x:v>M04</x:v>
      </x:c>
      <x:c r="C43" s="26" t="str">
        <x:f>'Year 9 Plan'!D43</x:f>
        <x:v>Storyboard, accessible sequence and portfolio assembly</x:v>
      </x:c>
      <x:c r="D43" s="39" t="str"/>
      <x:c r="E43" s="26" t="str">
        <x:v>Not started</x:v>
      </x:c>
      <x:c r="F43" s="26" t="str"/>
      <x:c r="G43" s="26" t="str"/>
      <x:c r="H43" s="26" t="str">
        <x:v>Not checked</x:v>
      </x:c>
      <x:c r="I43" s="26" t="str"/>
      <x:c r="J43" s="26" t="str"/>
      <x:c r="K43" s="26" t="str">
        <x:v>Not signed</x:v>
      </x:c>
    </x:row>
    <x:row r="44" ht="36" customHeight="1">
      <x:c r="A44" s="33" t="n">
        <x:f>'Year 9 Plan'!A44</x:f>
        <x:v>39</x:v>
      </x:c>
      <x:c r="B44" s="33" t="str">
        <x:f>'Year 9 Plan'!B44</x:f>
        <x:v>M04</x:v>
      </x:c>
      <x:c r="C44" s="33" t="str">
        <x:f>'Year 9 Plan'!D44</x:f>
        <x:v>Collaborative critique and evidence-led revision</x:v>
      </x:c>
      <x:c r="D44" s="38" t="str"/>
      <x:c r="E44" s="33" t="str">
        <x:v>Not started</x:v>
      </x:c>
      <x:c r="F44" s="33" t="str"/>
      <x:c r="G44" s="33" t="str"/>
      <x:c r="H44" s="33" t="str">
        <x:v>Not checked</x:v>
      </x:c>
      <x:c r="I44" s="33" t="str"/>
      <x:c r="J44" s="33" t="str"/>
      <x:c r="K44" s="33" t="str">
        <x:v>Not signed</x:v>
      </x:c>
    </x:row>
    <x:row r="45" ht="36" customHeight="1">
      <x:c r="A45" s="26" t="n">
        <x:f>'Year 9 Plan'!A45</x:f>
        <x:v>40</x:v>
      </x:c>
      <x:c r="B45" s="26" t="str">
        <x:f>'Year 9 Plan'!B45</x:f>
        <x:v>M04</x:v>
      </x:c>
      <x:c r="C45" s="26" t="str">
        <x:f>'Year 9 Plan'!D45</x:f>
        <x:v>Final section package, module review and Year 9 handoff</x:v>
      </x:c>
      <x:c r="D45" s="39" t="str"/>
      <x:c r="E45" s="26" t="str">
        <x:v>Not started</x:v>
      </x:c>
      <x:c r="F45" s="26" t="str"/>
      <x:c r="G45" s="26" t="str"/>
      <x:c r="H45" s="26" t="str">
        <x:v>Not checked</x:v>
      </x:c>
      <x:c r="I45" s="26" t="str"/>
      <x:c r="J45" s="26" t="str"/>
      <x:c r="K45" s="26" t="str">
        <x:v>Not signed</x:v>
      </x:c>
    </x:row>
  </x:sheetData>
  <x:mergeCells>
    <x:mergeCell ref="A1:K1"/>
    <x:mergeCell ref="A2:K2"/>
  </x:mergeCells>
  <x:conditionalFormatting sqref="E6:E45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Deferred"/>
  </x:conditionalFormatting>
  <x:conditionalFormatting sqref="H6:H45">
    <x:cfRule type="containsText" dxfId="3" priority="4" operator="containsText" text="Checked"/>
    <x:cfRule type="containsText" dxfId="4" priority="5" operator="containsText" text="Follow-up"/>
  </x:conditionalFormatting>
  <x:conditionalFormatting sqref="K6:K45">
    <x:cfRule type="containsText" dxfId="5" priority="6" operator="containsText" text="Signed"/>
  </x:conditionalFormatting>
  <x:dataValidations count="3">
    <x:dataValidation type="list" sqref="E6:E45">
      <x:formula1>"Not started,In progress,Complete,Deferred"</x:formula1>
    </x:dataValidation>
    <x:dataValidation type="list" sqref="H6:H45">
      <x:formula1>"Not checked,Checked,Follow-up"</x:formula1>
    </x:dataValidation>
    <x:dataValidation type="list" sqref="K6:K45">
      <x:formula1>"Not signed,Signed"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30" hidden="0" customWidth="1"/>
    <x:col min="4" max="4" width="44" hidden="0" customWidth="1"/>
    <x:col min="5" max="5" width="48" hidden="0" customWidth="1"/>
    <x:col min="6" max="6" width="34" hidden="0" customWidth="1"/>
    <x:col min="7" max="7" width="38" hidden="0" customWidth="1"/>
    <x:col min="8" max="8" width="30" hidden="0" customWidth="1"/>
    <x:col min="9" max="9" width="52" hidden="0" customWidth="1"/>
  </x:cols>
  <x:sheetData>
    <x:row r="1" ht="30" customHeight="1">
      <x:c r="A1" s="3" t="str">
        <x:v>Stage 5 Graphics 200-hour master alignment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Four Year 9 modules and four Year 10 sister modules. Year 10 entries are planned-transition allocations and are not accepted CMT5 delivery claims.</x:v>
      </x:c>
      <x:c r="B2" s="7"/>
      <x:c r="C2" s="7"/>
      <x:c r="D2" s="7"/>
      <x:c r="E2" s="7"/>
      <x:c r="F2" s="7"/>
      <x:c r="G2" s="7"/>
      <x:c r="H2" s="7"/>
      <x:c r="I2" s="7"/>
    </x:row>
    <x:row r="5">
      <x:c r="A5" s="22" t="str">
        <x:v>Module ID</x:v>
      </x:c>
      <x:c r="B5" s="22" t="str">
        <x:v>Year</x:v>
      </x:c>
      <x:c r="C5" s="22" t="str">
        <x:v>Title</x:v>
      </x:c>
      <x:c r="D5" s="22" t="str">
        <x:v>Contribution / contexts</x:v>
      </x:c>
      <x:c r="E5" s="22" t="str">
        <x:v>CMT5 outcomes</x:v>
      </x:c>
      <x:c r="F5" s="22" t="str">
        <x:v>Project allocation</x:v>
      </x:c>
      <x:c r="G5" s="22" t="str">
        <x:v>Folio allocation</x:v>
      </x:c>
      <x:c r="H5" s="22" t="str">
        <x:v>State</x:v>
      </x:c>
      <x:c r="I5" s="22" t="str">
        <x:v>Acceptance / next action</x:v>
      </x:c>
    </x:row>
    <x:row r="6" ht="66" customHeight="1">
      <x:c r="A6" s="35" t="str">
        <x:v>y9-m01</x:v>
      </x:c>
      <x:c r="B6" s="35" t="n">
        <x:v>9</x:v>
      </x:c>
      <x:c r="C6" s="26" t="str">
        <x:v>Drawing Foundations and Visual Communication</x:v>
      </x:c>
      <x:c r="D6" s="26" t="str">
        <x:v>Graphics principles and project management core; Drawing systems core; Product drawing context</x:v>
      </x:c>
      <x:c r="E6" s="26" t="str">
        <x:v>CMT5-SAF-01; CMT5-COM-01; CMT5-DEP-01; CMT5-DES-01; CMT5-DES-02; CMT5-USE-01; CMT5-PMP-01</x:v>
      </x:c>
      <x:c r="F6" s="26" t="str">
        <x:v>y9-project-a; local name Teacher to confirm</x:v>
      </x:c>
      <x:c r="G6" s="26" t="str">
        <x:v>y9-project-a-folio; mapped-to-three-section-cards</x:v>
      </x:c>
      <x:c r="H6" s="26" t="str">
        <x:v>source-ready-provisional</x:v>
      </x:c>
      <x:c r="I6" s="26" t="str">
        <x:v>Source-ready provisional; local timetable/project approval still required</x:v>
      </x:c>
    </x:row>
    <x:row r="7" ht="66" customHeight="1">
      <x:c r="A7" s="35" t="str">
        <x:v>y9-m02</x:v>
      </x:c>
      <x:c r="B7" s="35" t="n">
        <x:v>9</x:v>
      </x:c>
      <x:c r="C7" s="26" t="str">
        <x:v>Onshape Product Drawing</x:v>
      </x:c>
      <x:c r="D7" s="26" t="str">
        <x:v>Graphics principles and project management core; Drawing systems core; Product drawing context; Onshape CAD workflow</x:v>
      </x:c>
      <x:c r="E7" s="26" t="str">
        <x:v>CMT5-SAF-01; CMT5-COM-01; CMT5-DEP-01; CMT5-DES-01; CMT5-DES-02; CMT5-USE-01; CMT5-PMP-01</x:v>
      </x:c>
      <x:c r="F7" s="26" t="str">
        <x:v>y9-project-a; local name Teacher to confirm</x:v>
      </x:c>
      <x:c r="G7" s="26" t="str">
        <x:v>y9-project-a-folio; mapped-to-three-section-cards</x:v>
      </x:c>
      <x:c r="H7" s="26" t="str">
        <x:v>source-ready-provisional</x:v>
      </x:c>
      <x:c r="I7" s="26" t="str">
        <x:v>Source-ready provisional; local timetable/project approval still required</x:v>
      </x:c>
    </x:row>
    <x:row r="8" ht="66" customHeight="1">
      <x:c r="A8" s="35" t="str">
        <x:v>y9-m03</x:v>
      </x:c>
      <x:c r="B8" s="35" t="n">
        <x:v>9</x:v>
      </x:c>
      <x:c r="C8" s="26" t="str">
        <x:v>Graphic Modelling and Prototyping</x:v>
      </x:c>
      <x:c r="D8" s="26" t="str">
        <x:v>Graphics principles and project management core; Graphic modelling and prototyping; Product drawing context; Onshape assemblies and versions</x:v>
      </x:c>
      <x:c r="E8" s="26" t="str">
        <x:v>CMT5-SAF-01; CMT5-COM-01; CMT5-DEP-01; CMT5-DES-01; CMT5-DES-02; CMT5-USE-01; CMT5-ENV-01; CMT5-PMP-01; CMT5-IET-01</x:v>
      </x:c>
      <x:c r="F8" s="26" t="str">
        <x:v>y9-project-b; local name Teacher to confirm</x:v>
      </x:c>
      <x:c r="G8" s="26" t="str">
        <x:v>y9-project-b-folio; mapped-to-three-section-cards</x:v>
      </x:c>
      <x:c r="H8" s="26" t="str">
        <x:v>source-ready-provisional</x:v>
      </x:c>
      <x:c r="I8" s="26" t="str">
        <x:v>Source-ready provisional; local timetable/project approval still required</x:v>
      </x:c>
    </x:row>
    <x:row r="9" ht="66" customHeight="1">
      <x:c r="A9" s="35" t="str">
        <x:v>y9-m04</x:v>
      </x:c>
      <x:c r="B9" s="35" t="n">
        <x:v>9</x:v>
      </x:c>
      <x:c r="C9" s="26" t="str">
        <x:v>Graphic Design and Communication</x:v>
      </x:c>
      <x:c r="D9" s="26" t="str">
        <x:v>Graphics principles and project management core; Graphic design and communication; Graphic modelling and prototyping; Collaborative critique</x:v>
      </x:c>
      <x:c r="E9" s="26" t="str">
        <x:v>CMT5-COM-01; CMT5-DEP-01; CMT5-DES-01; CMT5-DES-02; CMT5-USE-01; CMT5-ENV-01; CMT5-PMP-01; CMT5-IET-01</x:v>
      </x:c>
      <x:c r="F9" s="26" t="str">
        <x:v>y9-project-b; local name Teacher to confirm</x:v>
      </x:c>
      <x:c r="G9" s="26" t="str">
        <x:v>y9-project-b-folio; mapped-to-three-section-cards</x:v>
      </x:c>
      <x:c r="H9" s="26" t="str">
        <x:v>source-ready-provisional</x:v>
      </x:c>
      <x:c r="I9" s="26" t="str">
        <x:v>Source-ready provisional; local timetable/project approval still required</x:v>
      </x:c>
    </x:row>
    <x:row r="10" ht="66" customHeight="1">
      <x:c r="A10" s="41" t="str">
        <x:v>y10-m01</x:v>
      </x:c>
      <x:c r="B10" s="41" t="n">
        <x:v>10</x:v>
      </x:c>
      <x:c r="C10" s="40" t="str">
        <x:v>Graphic Design and Communication</x:v>
      </x:c>
      <x:c r="D10" s="40" t="str">
        <x:v>Graphics principles and project management core; Graphic design and communication</x:v>
      </x:c>
      <x:c r="E10" s="40" t="str">
        <x:v>CMT5-COM-01; CMT5-DEP-01; CMT5-DES-01; CMT5-DES-02; CMT5-USE-01; CMT5-ENV-01; CMT5-IET-01</x:v>
      </x:c>
      <x:c r="F10" s="40" t="str">
        <x:v>y10-project-a; local name Teacher to confirm</x:v>
      </x:c>
      <x:c r="G10" s="40" t="str">
        <x:v>y10-project-a-folio; transition folio Teacher to confirm</x:v>
      </x:c>
      <x:c r="H10" s="40" t="str">
        <x:v>planned-cmt5-transition-not-accepted</x:v>
      </x:c>
      <x:c r="I10" s="40" t="str">
        <x:v>planned; content authority and companion software Teacher to confirm</x:v>
      </x:c>
    </x:row>
    <x:row r="11" ht="66" customHeight="1">
      <x:c r="A11" s="41" t="str">
        <x:v>y10-m02</x:v>
      </x:c>
      <x:c r="B11" s="41" t="n">
        <x:v>10</x:v>
      </x:c>
      <x:c r="C11" s="40" t="str">
        <x:v>Architectural Drawing</x:v>
      </x:c>
      <x:c r="D11" s="40" t="str">
        <x:v>Graphics principles and project management core; Drawing systems core; Architectural drawing context</x:v>
      </x:c>
      <x:c r="E11" s="40" t="str">
        <x:v>CMT5-SAF-01; CMT5-COM-01; CMT5-DEP-01; CMT5-DES-01; CMT5-DES-02; CMT5-USE-01; CMT5-ENV-01; CMT5-PMP-01</x:v>
      </x:c>
      <x:c r="F11" s="40" t="str">
        <x:v>y10-project-a; local name Teacher to confirm</x:v>
      </x:c>
      <x:c r="G11" s="40" t="str">
        <x:v>y10-project-a-folio; transition folio Teacher to confirm</x:v>
      </x:c>
      <x:c r="H11" s="40" t="str">
        <x:v>planned-cmt5-transition-not-accepted</x:v>
      </x:c>
      <x:c r="I11" s="40" t="str">
        <x:v>planned; current source plans, Onshape suitability and local project identity Teacher to confirm</x:v>
      </x:c>
    </x:row>
    <x:row r="12" ht="66" customHeight="1">
      <x:c r="A12" s="41" t="str">
        <x:v>y10-m03</x:v>
      </x:c>
      <x:c r="B12" s="41" t="n">
        <x:v>10</x:v>
      </x:c>
      <x:c r="C12" s="40" t="str">
        <x:v>Engineering Drawing</x:v>
      </x:c>
      <x:c r="D12" s="40" t="str">
        <x:v>Graphics principles and project management core; Drawing systems core; Engineering drawing context; Onshape modelling and assemblies</x:v>
      </x:c>
      <x:c r="E12" s="40" t="str">
        <x:v>CMT5-SAF-01; CMT5-COM-01; CMT5-DEP-01; CMT5-DES-01; CMT5-USE-01; CMT5-ENV-01; CMT5-IET-01</x:v>
      </x:c>
      <x:c r="F12" s="40" t="str">
        <x:v>y10-project-b; local name Teacher to confirm</x:v>
      </x:c>
      <x:c r="G12" s="40" t="str">
        <x:v>y10-project-b-folio; transition folio Teacher to confirm</x:v>
      </x:c>
      <x:c r="H12" s="40" t="str">
        <x:v>planned-cmt5-transition-not-accepted</x:v>
      </x:c>
      <x:c r="I12" s="40" t="str">
        <x:v>planned; authoritative engineering drawings, standards settings and project identity Teacher to confirm</x:v>
      </x:c>
    </x:row>
    <x:row r="13" ht="66" customHeight="1">
      <x:c r="A13" s="41" t="str">
        <x:v>y10-m04</x:v>
      </x:c>
      <x:c r="B13" s="41" t="n">
        <x:v>10</x:v>
      </x:c>
      <x:c r="C13" s="40" t="str">
        <x:v>Student Negotiated Project</x:v>
      </x:c>
      <x:c r="D13" s="40" t="str">
        <x:v>Graphics principles and project management core; Integrated drawing and additional-focus application; Student-negotiated communication solution</x:v>
      </x:c>
      <x:c r="E13" s="40" t="str">
        <x:v>CMT5-SAF-01; CMT5-COM-01; CMT5-DEP-01; CMT5-DES-01; CMT5-DES-02; CMT5-USE-01; CMT5-ENV-01; CMT5-PMP-01; CMT5-IET-01</x:v>
      </x:c>
      <x:c r="F13" s="40" t="str">
        <x:v>y10-project-b; local name Teacher to confirm</x:v>
      </x:c>
      <x:c r="G13" s="40" t="str">
        <x:v>y10-project-b-folio; transition folio Teacher to confirm</x:v>
      </x:c>
      <x:c r="H13" s="40" t="str">
        <x:v>planned-cmt5-transition-not-accepted</x:v>
      </x:c>
      <x:c r="I13" s="40" t="str">
        <x:v>planned; negotiation limits, local approval, assessment status and evidence conditions Teacher to confirm</x:v>
      </x:c>
    </x:row>
    <x:row r="15">
      <x:c r="A15" s="22" t="str">
        <x:v>Cross-year progression threads</x:v>
      </x:c>
      <x:c r="B15" s="22"/>
      <x:c r="C15" s="22"/>
      <x:c r="D15" s="22"/>
      <x:c r="E15" s="22"/>
      <x:c r="F15" s="22"/>
      <x:c r="G15" s="22"/>
      <x:c r="H15" s="22"/>
      <x:c r="I15" s="22"/>
    </x:row>
    <x:row r="16">
      <x:c r="A16" s="22" t="str">
        <x:v>Thread</x:v>
      </x:c>
      <x:c r="B16" s="22" t="str">
        <x:v>Year 9 foundation</x:v>
      </x:c>
      <x:c r="C16" s="22" t="str">
        <x:v>Year 10 extension</x:v>
      </x:c>
      <x:c r="D16" s="22" t="str">
        <x:v>Progression</x:v>
      </x:c>
      <x:c r="E16" s="22" t="str">
        <x:v>Year 10 state</x:v>
      </x:c>
    </x:row>
    <x:row r="17" ht="60" customHeight="1">
      <x:c r="A17" s="33" t="str">
        <x:v>drawing-systems-progression</x:v>
      </x:c>
      <x:c r="B17" s="33" t="str">
        <x:v>y9-m01; y9-m02</x:v>
      </x:c>
      <x:c r="C17" s="33" t="str">
        <x:v>y10-m02; y10-m03</x:v>
      </x:c>
      <x:c r="D17" s="33" t="str">
        <x:v>Manual and product-drawing foundations move into architectural and engineering drawing contexts with coordinated views, conventions and purpose-selected dimensions.</x:v>
      </x:c>
      <x:c r="E17" s="33" t="str">
        <x:v>planned-transition</x:v>
      </x:c>
    </x:row>
    <x:row r="18" ht="60" customHeight="1">
      <x:c r="A18" s="26" t="str">
        <x:v>onshape-design-intent</x:v>
      </x:c>
      <x:c r="B18" s="26" t="str">
        <x:v>y9-m02; y9-m03</x:v>
      </x:c>
      <x:c r="C18" s="26" t="str">
        <x:v>y10-m02; y10-m03; y10-m04</x:v>
      </x:c>
      <x:c r="D18" s="26" t="str">
        <x:v>Constrained sketches, feature history, drawings, versions and assemblies progress to context-specific modelling, coordinated outputs and negotiated design development. Onshape remains the CAD platform.</x:v>
      </x:c>
      <x:c r="E18" s="26" t="str">
        <x:v>planned-transition</x:v>
      </x:c>
    </x:row>
    <x:row r="19" ht="60" customHeight="1">
      <x:c r="A19" s="33" t="str">
        <x:v>audience-ethics-and-communication</x:v>
      </x:c>
      <x:c r="B19" s="33" t="str">
        <x:v>y9-m04</x:v>
      </x:c>
      <x:c r="C19" s="33" t="str">
        <x:v>y10-m01; y10-m02; y10-m04</x:v>
      </x:c>
      <x:c r="D19" s="33" t="str">
        <x:v>Audience, hierarchy, source ethics, privacy, ICIP and accessible presentation are reapplied in graphic, built-environment and negotiated contexts.</x:v>
      </x:c>
      <x:c r="E19" s="33" t="str">
        <x:v>planned-transition</x:v>
      </x:c>
    </x:row>
    <x:row r="20" ht="60" customHeight="1">
      <x:c r="A20" s="26" t="str">
        <x:v>project-management-and-folio</x:v>
      </x:c>
      <x:c r="B20" s="26" t="str">
        <x:v>y9-m03; y9-m04</x:v>
      </x:c>
      <x:c r="C20" s="26" t="str">
        <x:v>y10-m02; y10-m04</x:v>
      </x:c>
      <x:c r="D20" s="26" t="str">
        <x:v>Research, briefs, specifications, versions, tests, feedback and evaluations progress into independently managed context projects and a negotiated solution.</x:v>
      </x:c>
      <x:c r="E20" s="26" t="str">
        <x:v>planned-transition</x:v>
      </x:c>
    </x:row>
    <x:row r="21" ht="60" customHeight="1">
      <x:c r="A21" s="33" t="str">
        <x:v>environment-and-emerging-technologies</x:v>
      </x:c>
      <x:c r="B21" s="33" t="str">
        <x:v>y9-m03; y9-m04</x:v>
      </x:c>
      <x:c r="C21" s="33" t="str">
        <x:v>y10-m01; y10-m02; y10-m03; y10-m04</x:v>
      </x:c>
      <x:c r="D21" s="33" t="str">
        <x:v>Students evaluate purpose, function, environmental implications and technology impacts with increasingly complex project evidence rather than software novelty alone.</x:v>
      </x:c>
      <x:c r="E21" s="33" t="str">
        <x:v>planned-transition</x:v>
      </x:c>
    </x:row>
  </x:sheetData>
  <x:mergeCells>
    <x:mergeCell ref="A1:I1"/>
    <x:mergeCell ref="A2:I2"/>
    <x:mergeCell ref="A15:I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44" hidden="0" customWidth="1"/>
  </x:cols>
  <x:sheetData>
    <x:row r="1" ht="30" customHeight="1">
      <x:c r="A1" s="3" t="str">
        <x:v>CMT5 outcome coverage</x:v>
      </x:c>
      <x:c r="B1" s="3"/>
      <x:c r="C1" s="3"/>
      <x:c r="D1" s="3"/>
      <x:c r="E1" s="3"/>
      <x:c r="F1" s="3"/>
      <x:c r="G1" s="3"/>
    </x:row>
    <x:row r="2" ht="30" customHeight="1">
      <x:c r="A2" s="7" t="str">
        <x:v>Source-backed counts are calculated from the validated program blueprints. Year 10 counts describe planned-transition allocation only.</x:v>
      </x:c>
      <x:c r="B2" s="7"/>
      <x:c r="C2" s="7"/>
      <x:c r="D2" s="7"/>
      <x:c r="E2" s="7"/>
      <x:c r="F2" s="7"/>
      <x:c r="G2" s="7"/>
    </x:row>
    <x:row r="5">
      <x:c r="A5" s="22" t="str">
        <x:v>Code</x:v>
      </x:c>
      <x:c r="B5" s="22" t="str">
        <x:v>Official wording</x:v>
      </x:c>
      <x:c r="C5" s="22" t="str">
        <x:v>Year 9 block count</x:v>
      </x:c>
      <x:c r="D5" s="22" t="str">
        <x:v>Year 9 modules</x:v>
      </x:c>
      <x:c r="E5" s="22" t="str">
        <x:v>Year 10 planned modules</x:v>
      </x:c>
      <x:c r="F5" s="22" t="str">
        <x:v>Total module allocations</x:v>
      </x:c>
      <x:c r="G5" s="22" t="str">
        <x:v>Acceptance note</x:v>
      </x:c>
    </x:row>
    <x:row r="6" ht="42" customHeight="1">
      <x:c r="A6" s="46" t="str">
        <x:v>CMT5-SAF-01</x:v>
      </x:c>
      <x:c r="B6" s="33" t="str">
        <x:v>applies risk management and safe work practices in communication technology contexts</x:v>
      </x:c>
      <x:c r="C6" s="34" t="n">
        <x:v>4</x:v>
      </x:c>
      <x:c r="D6" s="34" t="n">
        <x:v>3</x:v>
      </x:c>
      <x:c r="E6" s="34" t="n">
        <x:v>3</x:v>
      </x:c>
      <x:c r="F6" s="34" t="n">
        <x:v>6</x:v>
      </x:c>
      <x:c r="G6" s="33" t="str">
        <x:v>Year 10 evidence remains unaccepted pending independent audit</x:v>
      </x:c>
    </x:row>
    <x:row r="7" ht="42" customHeight="1">
      <x:c r="A7" s="47" t="str">
        <x:v>CMT5-COM-01</x:v>
      </x:c>
      <x:c r="B7" s="26" t="str">
        <x:v>communicates ideas, concepts and solutions through design and production</x:v>
      </x:c>
      <x:c r="C7" s="35" t="n">
        <x:v>26</x:v>
      </x:c>
      <x:c r="D7" s="35" t="n">
        <x:v>4</x:v>
      </x:c>
      <x:c r="E7" s="35" t="n">
        <x:v>4</x:v>
      </x:c>
      <x:c r="F7" s="35" t="n">
        <x:v>8</x:v>
      </x:c>
      <x:c r="G7" s="26" t="str">
        <x:v>Year 10 evidence remains unaccepted pending independent audit</x:v>
      </x:c>
    </x:row>
    <x:row r="8" ht="42" customHeight="1">
      <x:c r="A8" s="46" t="str">
        <x:v>CMT5-DEP-01</x:v>
      </x:c>
      <x:c r="B8" s="33" t="str">
        <x:v>selects and applies technical and practical skills for design and production</x:v>
      </x:c>
      <x:c r="C8" s="34" t="n">
        <x:v>13</x:v>
      </x:c>
      <x:c r="D8" s="34" t="n">
        <x:v>4</x:v>
      </x:c>
      <x:c r="E8" s="34" t="n">
        <x:v>4</x:v>
      </x:c>
      <x:c r="F8" s="34" t="n">
        <x:v>8</x:v>
      </x:c>
      <x:c r="G8" s="33" t="str">
        <x:v>Year 10 evidence remains unaccepted pending independent audit</x:v>
      </x:c>
    </x:row>
    <x:row r="9" ht="42" customHeight="1">
      <x:c r="A9" s="47" t="str">
        <x:v>CMT5-DES-01</x:v>
      </x:c>
      <x:c r="B9" s="26" t="str">
        <x:v>applies design principles, standards and conventions in the production of projects</x:v>
      </x:c>
      <x:c r="C9" s="35" t="n">
        <x:v>20</x:v>
      </x:c>
      <x:c r="D9" s="35" t="n">
        <x:v>4</x:v>
      </x:c>
      <x:c r="E9" s="35" t="n">
        <x:v>4</x:v>
      </x:c>
      <x:c r="F9" s="35" t="n">
        <x:v>8</x:v>
      </x:c>
      <x:c r="G9" s="26" t="str">
        <x:v>Year 10 evidence remains unaccepted pending independent audit</x:v>
      </x:c>
    </x:row>
    <x:row r="10" ht="42" customHeight="1">
      <x:c r="A10" s="46" t="str">
        <x:v>CMT5-DES-02</x:v>
      </x:c>
      <x:c r="B10" s="33" t="str">
        <x:v>designs products and solutions for a range of purposes and audiences</x:v>
      </x:c>
      <x:c r="C10" s="34" t="n">
        <x:v>13</x:v>
      </x:c>
      <x:c r="D10" s="34" t="n">
        <x:v>4</x:v>
      </x:c>
      <x:c r="E10" s="34" t="n">
        <x:v>3</x:v>
      </x:c>
      <x:c r="F10" s="34" t="n">
        <x:v>7</x:v>
      </x:c>
      <x:c r="G10" s="33" t="str">
        <x:v>Year 10 evidence remains unaccepted pending independent audit</x:v>
      </x:c>
    </x:row>
    <x:row r="11" ht="42" customHeight="1">
      <x:c r="A11" s="47" t="str">
        <x:v>CMT5-USE-01</x:v>
      </x:c>
      <x:c r="B11" s="26" t="str">
        <x:v>selects and uses equipment and software in the design, development and presentation of communication technology solutions</x:v>
      </x:c>
      <x:c r="C11" s="35" t="n">
        <x:v>17</x:v>
      </x:c>
      <x:c r="D11" s="35" t="n">
        <x:v>4</x:v>
      </x:c>
      <x:c r="E11" s="35" t="n">
        <x:v>4</x:v>
      </x:c>
      <x:c r="F11" s="35" t="n">
        <x:v>8</x:v>
      </x:c>
      <x:c r="G11" s="26" t="str">
        <x:v>Year 10 evidence remains unaccepted pending independent audit</x:v>
      </x:c>
    </x:row>
    <x:row r="12" ht="42" customHeight="1">
      <x:c r="A12" s="46" t="str">
        <x:v>CMT5-ENV-01</x:v>
      </x:c>
      <x:c r="B12" s="33" t="str">
        <x:v>evaluates the purpose, functionality and environmental impacts of products and solutions</x:v>
      </x:c>
      <x:c r="C12" s="34" t="n">
        <x:v>6</x:v>
      </x:c>
      <x:c r="D12" s="34" t="n">
        <x:v>2</x:v>
      </x:c>
      <x:c r="E12" s="34" t="n">
        <x:v>4</x:v>
      </x:c>
      <x:c r="F12" s="34" t="n">
        <x:v>6</x:v>
      </x:c>
      <x:c r="G12" s="33" t="str">
        <x:v>Year 10 evidence remains unaccepted pending independent audit</x:v>
      </x:c>
    </x:row>
    <x:row r="13" ht="42" customHeight="1">
      <x:c r="A13" s="47" t="str">
        <x:v>CMT5-PMP-01</x:v>
      </x:c>
      <x:c r="B13" s="26" t="str">
        <x:v>selects and applies processes for the planning and management of communication technology projects</x:v>
      </x:c>
      <x:c r="C13" s="35" t="n">
        <x:v>19</x:v>
      </x:c>
      <x:c r="D13" s="35" t="n">
        <x:v>4</x:v>
      </x:c>
      <x:c r="E13" s="35" t="n">
        <x:v>2</x:v>
      </x:c>
      <x:c r="F13" s="35" t="n">
        <x:v>6</x:v>
      </x:c>
      <x:c r="G13" s="26" t="str">
        <x:v>Year 10 evidence remains unaccepted pending independent audit</x:v>
      </x:c>
    </x:row>
    <x:row r="14" ht="42" customHeight="1">
      <x:c r="A14" s="46" t="str">
        <x:v>CMT5-IET-01</x:v>
      </x:c>
      <x:c r="B14" s="33" t="str">
        <x:v>assesses the impact of current and emerging technologies used in communication technology production</x:v>
      </x:c>
      <x:c r="C14" s="34" t="n">
        <x:v>7</x:v>
      </x:c>
      <x:c r="D14" s="34" t="n">
        <x:v>2</x:v>
      </x:c>
      <x:c r="E14" s="34" t="n">
        <x:v>3</x:v>
      </x:c>
      <x:c r="F14" s="34" t="n">
        <x:v>5</x:v>
      </x:c>
      <x:c r="G14" s="33" t="str">
        <x:v>Year 10 evidence remains unaccepted pending independent audit</x:v>
      </x:c>
    </x:row>
    <x:row r="16">
      <x:c r="A16" s="32" t="str">
        <x:v>All nine outcome codes are present in the master. Counts do not convert planned Year 10 allocations into accepted evidence.</x:v>
      </x:c>
      <x:c r="B16" s="32"/>
      <x:c r="C16" s="32"/>
      <x:c r="D16" s="32"/>
      <x:c r="E16" s="32"/>
      <x:c r="F16" s="32"/>
      <x:c r="G16" s="32"/>
    </x:row>
  </x:sheetData>
  <x:mergeCells>
    <x:mergeCell ref="A1:G1"/>
    <x:mergeCell ref="A2:G2"/>
    <x:mergeCell ref="A16:G16"/>
  </x:mergeCells>
  <x:conditionalFormatting sqref="C6:F14">
    <x:cfRule type="dataBar" priority="1">
      <x:dataBar>
        <x:cfvo type="min"/>
        <x:cfvo type="max"/>
        <x:color rgb="FF8B2433"/>
      </x:dataBar>
      <x:extLst>
        <x:ext xmlns:x14="http://schemas.microsoft.com/office/spreadsheetml/2009/9/main" uri="{B025F937-C7B1-47D3-B67F-A62EFF666E3E}">
          <x14:id>{13F1A7F2-659E-9D19-2F6C-02A15A6CB2BD}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F1A7F2-659E-9D19-2F6C-02A15A6CB2BD}">
            <x14:dataBar gradient="1">
              <x14:cfvo type="min"/>
              <x14:cfvo type="max"/>
              <x14:fillColor rgb="FF8B2433"/>
            </x14:dataBar>
          </x14:cfRule>
          <xm:sqref>C6:F14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24" hidden="0" customWidth="1"/>
    <x:col min="4" max="4" width="28" hidden="0" customWidth="1"/>
    <x:col min="5" max="5" width="70" hidden="0" customWidth="1"/>
    <x:col min="6" max="6" width="24" hidden="0" customWidth="1"/>
    <x:col min="7" max="7" width="28" hidden="0" customWidth="1"/>
    <x:col min="8" max="8" width="34" hidden="0" customWidth="1"/>
  </x:cols>
  <x:sheetData>
    <x:row r="1" ht="30" customHeight="1">
      <x:c r="A1" s="3" t="str">
        <x:v>Teacher to confirm register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These dependencies are deliberately unresolved. Confirm them from authorised local sources before approval, delivery, project launch or assessment notification.</x:v>
      </x:c>
      <x:c r="B2" s="7"/>
      <x:c r="C2" s="7"/>
      <x:c r="D2" s="7"/>
      <x:c r="E2" s="7"/>
      <x:c r="F2" s="7"/>
      <x:c r="G2" s="7"/>
      <x:c r="H2" s="7"/>
    </x:row>
    <x:row r="5">
      <x:c r="A5" s="22" t="str">
        <x:v>ID</x:v>
      </x:c>
      <x:c r="B5" s="22" t="str">
        <x:v>Scope</x:v>
      </x:c>
      <x:c r="C5" s="22" t="str">
        <x:v>Owner</x:v>
      </x:c>
      <x:c r="D5" s="22" t="str">
        <x:v>Due before</x:v>
      </x:c>
      <x:c r="E5" s="22" t="str">
        <x:v>Required action</x:v>
      </x:c>
      <x:c r="F5" s="22" t="str">
        <x:v>Status</x:v>
      </x:c>
      <x:c r="G5" s="22" t="str">
        <x:v>Evidence / date</x:v>
      </x:c>
      <x:c r="H5" s="22" t="str">
        <x:v>Decision notes</x:v>
      </x:c>
    </x:row>
    <x:row r="6" ht="60" customHeight="1">
      <x:c r="A6" s="33" t="str">
        <x:v>master-delivery-year</x:v>
      </x:c>
      <x:c r="B6" s="33" t="str">
        <x:v>whole course</x:v>
      </x:c>
      <x:c r="C6" s="33" t="str">
        <x:v>Head Teacher/faculty</x:v>
      </x:c>
      <x:c r="D6" s="33" t="str">
        <x:v>program approval</x:v>
      </x:c>
      <x:c r="E6" s="33" t="str">
        <x:v>Confirm first Year 9 intake year and any approved early-adoption decision.</x:v>
      </x:c>
      <x:c r="F6" s="33" t="str">
        <x:v>Teacher to confirm</x:v>
      </x:c>
      <x:c r="G6" s="33" t="str"/>
      <x:c r="H6" s="33" t="str"/>
    </x:row>
    <x:row r="7" ht="60" customHeight="1">
      <x:c r="A7" s="26" t="str">
        <x:v>master-time-allocation</x:v>
      </x:c>
      <x:c r="B7" s="26" t="str">
        <x:v>200-hour distribution</x:v>
      </x:c>
      <x:c r="C7" s="26" t="str">
        <x:v>Head Teacher/faculty</x:v>
      </x:c>
      <x:c r="D7" s="26" t="str">
        <x:v>delivery-register construction</x:v>
      </x:c>
      <x:c r="E7" s="26" t="str">
        <x:v>Confirm local Year 9/Year 10 hour and period distribution without assuming an equal split.</x:v>
      </x:c>
      <x:c r="F7" s="26" t="str">
        <x:v>Teacher to confirm</x:v>
      </x:c>
      <x:c r="G7" s="26" t="str"/>
      <x:c r="H7" s="26" t="str"/>
    </x:row>
    <x:row r="8" ht="60" customHeight="1">
      <x:c r="A8" s="33" t="str">
        <x:v>master-project-identities</x:v>
      </x:c>
      <x:c r="B8" s="33" t="str">
        <x:v>all four projects</x:v>
      </x:c>
      <x:c r="C8" s="33" t="str">
        <x:v>Course teacher/faculty</x:v>
      </x:c>
      <x:c r="D8" s="33" t="str">
        <x:v>project launches</x:v>
      </x:c>
      <x:c r="E8" s="33" t="str">
        <x:v>Confirm final project names, briefs, local sequence, authoritative artefacts and folio expectations.</x:v>
      </x:c>
      <x:c r="F8" s="33" t="str">
        <x:v>Teacher to confirm</x:v>
      </x:c>
      <x:c r="G8" s="33" t="str"/>
      <x:c r="H8" s="33" t="str"/>
    </x:row>
    <x:row r="9" ht="60" customHeight="1">
      <x:c r="A9" s="26" t="str">
        <x:v>master-assessment</x:v>
      </x:c>
      <x:c r="B9" s="26" t="str">
        <x:v>formal assessment across both years</x:v>
      </x:c>
      <x:c r="C9" s="26" t="str">
        <x:v>Head Teacher/faculty</x:v>
      </x:c>
      <x:c r="D9" s="26" t="str">
        <x:v>student notification</x:v>
      </x:c>
      <x:c r="E9" s="26" t="str">
        <x:v>Confirm all assessment schedules, weightings, dates, outcomes, submission and moderation arrangements.</x:v>
      </x:c>
      <x:c r="F9" s="26" t="str">
        <x:v>Teacher to confirm</x:v>
      </x:c>
      <x:c r="G9" s="26" t="str"/>
      <x:c r="H9" s="26" t="str"/>
    </x:row>
    <x:row r="10" ht="60" customHeight="1">
      <x:c r="A10" s="33" t="str">
        <x:v>master-whs</x:v>
      </x:c>
      <x:c r="B10" s="33" t="str">
        <x:v>all practical and physical/CAM work</x:v>
      </x:c>
      <x:c r="C10" s="33" t="str">
        <x:v>Course teacher/faculty</x:v>
      </x:c>
      <x:c r="D10" s="33" t="str">
        <x:v>each practical</x:v>
      </x:c>
      <x:c r="E10" s="33" t="str">
        <x:v>Confirm current local WHS controls, approved equipment, materials, supervision and process permissions.</x:v>
      </x:c>
      <x:c r="F10" s="33" t="str">
        <x:v>Teacher to confirm</x:v>
      </x:c>
      <x:c r="G10" s="33" t="str"/>
      <x:c r="H10" s="33" t="str"/>
    </x:row>
    <x:row r="11" ht="60" customHeight="1">
      <x:c r="A11" s="26" t="str">
        <x:v>master-drawing-standards</x:v>
      </x:c>
      <x:c r="B11" s="26" t="str">
        <x:v>all drawing contexts</x:v>
      </x:c>
      <x:c r="C11" s="26" t="str">
        <x:v>Course teacher/faculty</x:v>
      </x:c>
      <x:c r="D11" s="26" t="str">
        <x:v>working-drawing production</x:v>
      </x:c>
      <x:c r="E11" s="26" t="str">
        <x:v>Confirm verified Australian drawing-standard templates, projection, units and settings.</x:v>
      </x:c>
      <x:c r="F11" s="26" t="str">
        <x:v>Teacher to confirm</x:v>
      </x:c>
      <x:c r="G11" s="26" t="str"/>
      <x:c r="H11" s="26" t="str"/>
    </x:row>
    <x:row r="12" ht="60" customHeight="1">
      <x:c r="A12" s="33" t="str">
        <x:v>master-onshape-access</x:v>
      </x:c>
      <x:c r="B12" s="33" t="str">
        <x:v>both years</x:v>
      </x:c>
      <x:c r="C12" s="33" t="str">
        <x:v>Course teacher/ICT</x:v>
      </x:c>
      <x:c r="D12" s="33" t="str">
        <x:v>first CAD practical</x:v>
      </x:c>
      <x:c r="E12" s="33" t="str">
        <x:v>Confirm Onshape Education access, permissions and school-specific workflow.</x:v>
      </x:c>
      <x:c r="F12" s="33" t="str">
        <x:v>Teacher to confirm</x:v>
      </x:c>
      <x:c r="G12" s="33" t="str"/>
      <x:c r="H12" s="33" t="str"/>
    </x:row>
    <x:row r="13" ht="60" customHeight="1">
      <x:c r="A13" s="26" t="str">
        <x:v>master-companion-software</x:v>
      </x:c>
      <x:c r="B13" s="26" t="str">
        <x:v>2D graphics, page layout and motion</x:v>
      </x:c>
      <x:c r="C13" s="26" t="str">
        <x:v>Course teacher/faculty</x:v>
      </x:c>
      <x:c r="D13" s="26" t="str">
        <x:v>related practicals</x:v>
      </x:c>
      <x:c r="E13" s="26" t="str">
        <x:v>Confirm approved companion software; Onshape remains the only CAD platform.</x:v>
      </x:c>
      <x:c r="F13" s="26" t="str">
        <x:v>Teacher to confirm</x:v>
      </x:c>
      <x:c r="G13" s="26" t="str"/>
      <x:c r="H13" s="26" t="str"/>
    </x:row>
    <x:row r="14" ht="60" customHeight="1">
      <x:c r="A14" s="33" t="str">
        <x:v>master-year10-acceptance</x:v>
      </x:c>
      <x:c r="B14" s="33" t="str">
        <x:v>Year 10 CMT5 transition</x:v>
      </x:c>
      <x:c r="C14" s="33" t="str">
        <x:v>Stage 15-17 reviewers</x:v>
      </x:c>
      <x:c r="D14" s="33" t="str">
        <x:v>master acceptance</x:v>
      </x:c>
      <x:c r="E14" s="33" t="str">
        <x:v>Audit and accept the converted Year 10 site and program; do not treat current GT5 content as accepted CMT5 evidence.</x:v>
      </x:c>
      <x:c r="F14" s="33" t="str">
        <x:v>Teacher to confirm</x:v>
      </x:c>
      <x:c r="G14" s="33" t="str"/>
      <x:c r="H14" s="33" t="str"/>
    </x:row>
  </x:sheetData>
  <x:mergeCells>
    <x:mergeCell ref="A1:H1"/>
    <x:mergeCell ref="A2:H2"/>
  </x:mergeCells>
  <x:conditionalFormatting sqref="F6:F14">
    <x:cfRule type="containsText" dxfId="6" priority="1" operator="containsText" text="Confirmed"/>
    <x:cfRule type="containsText" dxfId="7" priority="2" operator="containsText" text="In progress"/>
    <x:cfRule type="containsText" dxfId="8" priority="3" operator="containsText" text="Teacher to confirm"/>
  </x:conditionalFormatting>
  <x:dataValidations count="1">
    <x:dataValidation type="list" sqref="F6:F14">
      <x:formula1>"Teacher to confirm,In progress,Confirmed,Not applicable - authorised"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0" hidden="0" customWidth="1"/>
    <x:col min="3" max="3" width="84" hidden="0" customWidth="1"/>
    <x:col min="4" max="4" width="58" hidden="0" customWidth="1"/>
    <x:col min="5" max="5" width="52" hidden="0" customWidth="1"/>
  </x:cols>
  <x:sheetData>
    <x:row r="1" ht="30" customHeight="1">
      <x:c r="A1" s="3" t="str">
        <x:v>Authorised source register</x:v>
      </x:c>
      <x:c r="B1" s="3"/>
      <x:c r="C1" s="3"/>
      <x:c r="D1" s="3"/>
      <x:c r="E1" s="3"/>
    </x:row>
    <x:row r="2" ht="30" customHeight="1">
      <x:c r="A2" s="7" t="str">
        <x:v>Official syllabus sources carry authority. Local and sister-site records contribute only within the boundaries stated below.</x:v>
      </x:c>
      <x:c r="B2" s="7"/>
      <x:c r="C2" s="7"/>
      <x:c r="D2" s="7"/>
      <x:c r="E2" s="7"/>
    </x:row>
    <x:row r="5">
      <x:c r="A5" s="22" t="str">
        <x:v>Source ID</x:v>
      </x:c>
      <x:c r="B5" s="22" t="str">
        <x:v>Title</x:v>
      </x:c>
      <x:c r="C5" s="22" t="str">
        <x:v>Location / digest</x:v>
      </x:c>
      <x:c r="D5" s="22" t="str">
        <x:v>Authority</x:v>
      </x:c>
      <x:c r="E5" s="22" t="str">
        <x:v>Boundary / use</x:v>
      </x:c>
    </x:row>
    <x:row r="6" ht="48" customHeight="1">
      <x:c r="A6" s="33" t="str">
        <x:v>nesa-course</x:v>
      </x:c>
      <x:c r="B6" s="33" t="str">
        <x:v>Communication Technology 7-10 (2025) course structure</x:v>
      </x:c>
      <x:c r="C6" s="33" t="str">
        <x:v>https://curriculum.nsw.edu.au/learning-areas/tas/communication-technology-7-10-2025/overview/course</x:v>
      </x:c>
      <x:c r="D6" s="33" t="str">
        <x:v>course requirements and 200-hour Graphics structure</x:v>
      </x:c>
      <x:c r="E6" s="33" t="str">
        <x:v>Authority limited to the stated use</x:v>
      </x:c>
    </x:row>
    <x:row r="7" ht="48" customHeight="1">
      <x:c r="A7" s="26" t="str">
        <x:v>nesa-outcomes</x:v>
      </x:c>
      <x:c r="B7" s="26" t="str">
        <x:v>Communication Technology 7-10 (2025) Stage 5 outcomes</x:v>
      </x:c>
      <x:c r="C7" s="26" t="str">
        <x:v>https://curriculum.nsw.edu.au/learning-areas/tas/communication-technology-7-10-2025/outcomes</x:v>
      </x:c>
      <x:c r="D7" s="26" t="str">
        <x:v>CMT5 codes and wording</x:v>
      </x:c>
      <x:c r="E7" s="26" t="str">
        <x:v>Authority limited to the stated use</x:v>
      </x:c>
    </x:row>
    <x:row r="8" ht="48" customHeight="1">
      <x:c r="A8" s="33" t="str">
        <x:v>nesa-principles</x:v>
      </x:c>
      <x:c r="B8" s="33" t="str">
        <x:v>Graphics principles and project management</x:v>
      </x:c>
      <x:c r="C8" s="33" t="str">
        <x:v>https://curriculum.nsw.edu.au/learning-areas/tas/communication-technology-7-10-2025/content/stage-5/faedaf189a</x:v>
      </x:c>
      <x:c r="D8" s="33" t="str">
        <x:v>core content</x:v>
      </x:c>
      <x:c r="E8" s="33" t="str">
        <x:v>Authority limited to the stated use</x:v>
      </x:c>
    </x:row>
    <x:row r="9" ht="48" customHeight="1">
      <x:c r="A9" s="26" t="str">
        <x:v>nesa-drawing-core</x:v>
      </x:c>
      <x:c r="B9" s="26" t="str">
        <x:v>Drawing systems core</x:v>
      </x:c>
      <x:c r="C9" s="26" t="str">
        <x:v>https://curriculum.nsw.edu.au/learning-areas/tas/communication-technology-7-10-2025/content/stage-5/fa63ae38e0</x:v>
      </x:c>
      <x:c r="D9" s="26" t="str">
        <x:v>manual and digital drawing systems content</x:v>
      </x:c>
      <x:c r="E9" s="26" t="str">
        <x:v>Authority limited to the stated use</x:v>
      </x:c>
    </x:row>
    <x:row r="10" ht="48" customHeight="1">
      <x:c r="A10" s="33" t="str">
        <x:v>nesa-drawing-contexts</x:v>
      </x:c>
      <x:c r="B10" s="33" t="str">
        <x:v>Drawing systems contexts</x:v>
      </x:c>
      <x:c r="C10" s="33" t="str">
        <x:v>https://curriculum.nsw.edu.au/learning-areas/tas/communication-technology-7-10-2025/content/stage-5/fa698bf5c2</x:v>
      </x:c>
      <x:c r="D10" s="33" t="str">
        <x:v>product drawing context and drawing applications</x:v>
      </x:c>
      <x:c r="E10" s="33" t="str">
        <x:v>Authority limited to the stated use</x:v>
      </x:c>
    </x:row>
    <x:row r="11" ht="48" customHeight="1">
      <x:c r="A11" s="26" t="str">
        <x:v>nesa-modelling</x:v>
      </x:c>
      <x:c r="B11" s="26" t="str">
        <x:v>Graphic modelling and prototyping</x:v>
      </x:c>
      <x:c r="C11" s="26" t="str">
        <x:v>https://curriculum.nsw.edu.au/learning-areas/tas/communication-technology-7-10-2025/content/stage-5/ol635da461/faod1879211</x:v>
      </x:c>
      <x:c r="D11" s="26" t="str">
        <x:v>additional focus area content</x:v>
      </x:c>
      <x:c r="E11" s="26" t="str">
        <x:v>Authority limited to the stated use</x:v>
      </x:c>
    </x:row>
    <x:row r="12" ht="48" customHeight="1">
      <x:c r="A12" s="33" t="str">
        <x:v>nesa-graphic-design</x:v>
      </x:c>
      <x:c r="B12" s="33" t="str">
        <x:v>Graphic design and communication</x:v>
      </x:c>
      <x:c r="C12" s="33" t="str">
        <x:v>https://curriculum.nsw.edu.au/learning-areas/tas/communication-technology-7-10-2025/content/stage-5/ol635da461/faoecc76bd4</x:v>
      </x:c>
      <x:c r="D12" s="33" t="str">
        <x:v>additional focus area content</x:v>
      </x:c>
      <x:c r="E12" s="33" t="str">
        <x:v>Authority limited to the stated use</x:v>
      </x:c>
    </x:row>
    <x:row r="13" ht="48" customHeight="1">
      <x:c r="A13" s="26" t="str">
        <x:v>doe-transition</x:v>
      </x:c>
      <x:c r="B13" s="26" t="str">
        <x:v>NSW DoE Communication Technology 7-10 (2025) syllabus information</x:v>
      </x:c>
      <x:c r="C13" s="26" t="str">
        <x:v>https://education.nsw.gov.au/teaching-and-learning/curriculum/tas/leading-tas-7-12/communication-technology-7-10-2025-syllabus-information</x:v>
      </x:c>
      <x:c r="D13" s="26" t="str">
        <x:v>implementation timing</x:v>
      </x:c>
      <x:c r="E13" s="26" t="str">
        <x:v>Authority limited to the stated use</x:v>
      </x:c>
    </x:row>
    <x:row r="14" ht="48" customHeight="1">
      <x:c r="A14" s="33" t="str">
        <x:v>onshape-help</x:v>
      </x:c>
      <x:c r="B14" s="33" t="str">
        <x:v>Onshape Help and Learning Center</x:v>
      </x:c>
      <x:c r="C14" s="33" t="str">
        <x:v>https://cad.onshape.com/help/Content/Home/getting_started_with_onshape.htm</x:v>
      </x:c>
      <x:c r="D14" s="33" t="str">
        <x:v>current Onshape concepts and non-video pathways</x:v>
      </x:c>
      <x:c r="E14" s="33" t="str">
        <x:v>Authority limited to the stated use</x:v>
      </x:c>
    </x:row>
    <x:row r="15" ht="48" customHeight="1">
      <x:c r="A15" s="26" t="str">
        <x:v>local-onshape-lineage</x:v>
      </x:c>
      <x:c r="B15" s="26" t="str">
        <x:v>Authorised local Onshape Task 3 lineage</x:v>
      </x:c>
      <x:c r="C15" s="26" t="str">
        <x:v>private Drive source recorded in the core artefact manifest</x:v>
      </x:c>
      <x:c r="D15" s="26" t="str">
        <x:v>privacy-safe product research, justified selection, parts/cutting-list fields, 3D screenshot and dimensioned orthographic evidence lineage only</x:v>
      </x:c>
      <x:c r="E15" s="26" t="str">
        <x:v>Private lineage; only privacy-safe evidence patterns may be used publicly</x:v>
      </x:c>
    </x:row>
    <x:row r="16" ht="48" customHeight="1">
      <x:c r="A16" s="33" t="str">
        <x:v>nesa-sample</x:v>
      </x:c>
      <x:c r="B16" s="33" t="str">
        <x:v>Communication Technology 7-10 (2025) sample scope and sequence Graphics Stage 5 200 hours</x:v>
      </x:c>
      <x:c r="C16" s="33" t="str">
        <x:v>854cfe95610053cc17c9be9c777c0c460229b01d0eb0db3a7b999734c17a5d62</x:v>
      </x:c>
      <x:c r="D16" s="33" t="str">
        <x:v>illustrative sequencing and evidence patterns only; not local project authority</x:v>
      </x:c>
      <x:c r="E16" s="33" t="str">
        <x:v>Illustrative sequencing only; not local project or assessment authority</x:v>
      </x:c>
    </x:row>
    <x:row r="17" ht="48" customHeight="1">
      <x:c r="A17" s="26" t="str">
        <x:v>year9-blueprint</x:v>
      </x:c>
      <x:c r="B17" s="26" t="str">
        <x:v>Year 9 one-year program content blueprint v1.0.0</x:v>
      </x:c>
      <x:c r="C17" s="26" t="str">
        <x:v>year9-one-year-program-blueprint-v1.0.0.json</x:v>
      </x:c>
      <x:c r="D17" s="26" t="str">
        <x:v>provisional Year 9 delivery allocation</x:v>
      </x:c>
      <x:c r="E17" s="26" t="str">
        <x:v>Authority limited to the stated use</x:v>
      </x:c>
    </x:row>
    <x:row r="18" ht="48" customHeight="1">
      <x:c r="A18" s="33" t="str">
        <x:v>year10-sister</x:v>
      </x:c>
      <x:c r="B18" s="33" t="str">
        <x:v>Year 10 Graphics Technology sister benchmark</x:v>
      </x:c>
      <x:c r="C18" s="33" t="str">
        <x:v>77c9740cab03e8a1a888e606e98f33030884aea0</x:v>
      </x:c>
      <x:c r="D18" s="33" t="str">
        <x:v>current route, module and section inventory plus structural continuity only; not CMT5 authority</x:v>
      </x:c>
      <x:c r="E18" s="33" t="str">
        <x:v>Structural continuity only; not CMT5 authority</x:v>
      </x:c>
    </x:row>
  </x:sheetData>
  <x:mergeCells>
    <x:mergeCell ref="A1:E1"/>
    <x:mergeCell ref="A2:E2"/>
  </x:mergeCells>
  <x:pageMargins left="0.7" right="0.7" top="0.75" bottom="0.75" header="0.3" footer="0.3"/>
</x:worksheet>
</file>